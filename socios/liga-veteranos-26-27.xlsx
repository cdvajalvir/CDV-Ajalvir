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72811bac1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a363bb296194e09"/>
    <x:sheet xmlns:r="http://schemas.openxmlformats.org/officeDocument/2006/relationships" name="Calendario General" sheetId="2" r:id="Ra00e55d138f9473a"/>
    <x:sheet xmlns:r="http://schemas.openxmlformats.org/officeDocument/2006/relationships" name="Conferencia Guadalajara" sheetId="3" r:id="R0ee80c90abab496c"/>
    <x:sheet xmlns:r="http://schemas.openxmlformats.org/officeDocument/2006/relationships" name="Conferencia Madrid" sheetId="4" r:id="Ra2d32bbb51cc4143"/>
    <x:sheet xmlns:r="http://schemas.openxmlformats.org/officeDocument/2006/relationships" name="2ª Fase Oro" sheetId="5" r:id="Rec4a755210e041a3"/>
    <x:sheet xmlns:r="http://schemas.openxmlformats.org/officeDocument/2006/relationships" name="2ª Fase Plata" sheetId="6" r:id="R8b54ee9257c14d27"/>
    <x:sheet xmlns:r="http://schemas.openxmlformats.org/officeDocument/2006/relationships" name="Formato" sheetId="7" r:id="R9928d028102c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6B3A"/>
      </x:patternFill>
    </x:fill>
    <x:fill>
      <x:patternFill patternType="solid">
        <x:fgColor rgb="FFE8F5E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B8860B"/>
      </x:patternFill>
    </x:fill>
    <x:fill>
      <x:patternFill patternType="solid">
        <x:fgColor rgb="FF7F8C8D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/>
    <x:xf numFmtId="0" fontId="0" fillId="0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0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14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8" borderId="17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2" fillId="9" borderId="1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/>
    <x:xf numFmtId="0" fontId="0" fillId="6" borderId="14" xfId="0" applyNumberFormat="1" applyFont="1" applyFill="1" applyBorder="1"/>
    <x:xf numFmtId="0" fontId="0" fillId="6" borderId="3" xfId="0" applyNumberFormat="1" applyFont="1" applyFill="1" applyBorder="1"/>
    <x:xf numFmtId="0" fontId="0" fillId="6" borderId="6" xfId="0" applyNumberFormat="1" applyFont="1" applyFill="1" applyBorder="1"/>
    <x:xf numFmtId="0" fontId="0" fillId="6" borderId="15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16" xfId="0" applyNumberFormat="1" applyFont="1" applyFill="1" applyBorder="1"/>
    <x:xf numFmtId="0" fontId="0" fillId="6" borderId="9" xfId="0" applyNumberFormat="1" applyFont="1" applyFill="1" applyBorder="1"/>
    <x:xf numFmtId="0" fontId="0" fillId="6" borderId="12" xfId="0" applyNumberFormat="1" applyFont="1" applyFill="1" applyBorder="1"/>
    <x:xf numFmtId="0" fontId="0" fillId="6" borderId="17" xfId="0" applyNumberFormat="1" applyFont="1" applyFill="1" applyBorder="1"/>
    <x:xf numFmtId="0" fontId="0" fillId="6" borderId="13" xfId="0" applyNumberFormat="1" applyFont="1" applyFill="1" applyBorder="1"/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horizontal="center"/>
    </x:xf>
    <x:xf numFmtId="0" fontId="1" fillId="10" borderId="1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0" fillId="4" borderId="10" xfId="0" applyNumberFormat="1" applyFont="1" applyFill="1" applyBorder="1"/>
    <x:xf numFmtId="0" fontId="0" fillId="4" borderId="12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D9EAF7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5b9abe8134f70" /><Relationship Type="http://schemas.openxmlformats.org/officeDocument/2006/relationships/theme" Target="/xl/theme/theme1.xml" Id="Ra98d6f5a21d443f6" /><Relationship Type="http://schemas.openxmlformats.org/officeDocument/2006/relationships/sharedStrings" Target="/xl/sharedStrings.xml" Id="Rf7d5d2f9f160476f" /><Relationship Type="http://schemas.openxmlformats.org/officeDocument/2006/relationships/worksheet" Target="/xl/worksheets/sheet1.xml" Id="Rea363bb296194e09" /><Relationship Type="http://schemas.openxmlformats.org/officeDocument/2006/relationships/worksheet" Target="/xl/worksheets/sheet2.xml" Id="Ra00e55d138f9473a" /><Relationship Type="http://schemas.openxmlformats.org/officeDocument/2006/relationships/worksheet" Target="/xl/worksheets/sheet3.xml" Id="R0ee80c90abab496c" /><Relationship Type="http://schemas.openxmlformats.org/officeDocument/2006/relationships/worksheet" Target="/xl/worksheets/sheet4.xml" Id="Ra2d32bbb51cc4143" /><Relationship Type="http://schemas.openxmlformats.org/officeDocument/2006/relationships/worksheet" Target="/xl/worksheets/sheet5.xml" Id="Rec4a755210e041a3" /><Relationship Type="http://schemas.openxmlformats.org/officeDocument/2006/relationships/worksheet" Target="/xl/worksheets/sheet6.xml" Id="R8b54ee9257c14d27" /><Relationship Type="http://schemas.openxmlformats.org/officeDocument/2006/relationships/worksheet" Target="/xl/worksheets/sheet7.xml" Id="R9928d028102c4f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1" hidden="0" customWidth="1"/>
    <x:col min="4" max="4" width="30" hidden="0" customWidth="1"/>
    <x:col min="5" max="5" width="30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SUPERLIGA VETERANOS LAST ROUND · TEMPORADA 2026/2027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24" t="str">
        <x:v>Indicador</x:v>
      </x:c>
      <x:c r="B4" s="25" t="str">
        <x:v>Valor</x:v>
      </x:c>
      <x:c r="D4" s="24" t="str">
        <x:v>Grupo Guadalajara</x:v>
      </x:c>
      <x:c r="E4" s="25" t="str">
        <x:v>Grupo Madrid</x:v>
      </x:c>
    </x:row>
    <x:row r="5">
      <x:c r="A5" s="26" t="str">
        <x:v>Equipos</x:v>
      </x:c>
      <x:c r="B5" s="27" t="n">
        <x:v>14</x:v>
      </x:c>
      <x:c r="D5" s="40" t="str">
        <x:v>Dinamo Guadalajara</x:v>
      </x:c>
      <x:c r="E5" s="41" t="str">
        <x:v>San Gabriel Veteranos</x:v>
      </x:c>
    </x:row>
    <x:row r="6">
      <x:c r="A6" s="26" t="str">
        <x:v>Grupos iniciales</x:v>
      </x:c>
      <x:c r="B6" s="27" t="n">
        <x:v>2</x:v>
      </x:c>
      <x:c r="D6" s="40" t="str">
        <x:v>ED Ciudad Valdeluz VT</x:v>
      </x:c>
      <x:c r="E6" s="41" t="str">
        <x:v>AD Alcobendas Veteranos</x:v>
      </x:c>
    </x:row>
    <x:row r="7">
      <x:c r="A7" s="26" t="str">
        <x:v>Equipos por grupo</x:v>
      </x:c>
      <x:c r="B7" s="27" t="n">
        <x:v>7</x:v>
      </x:c>
      <x:c r="D7" s="40" t="str">
        <x:v>ACDM Horche Veteranos</x:v>
      </x:c>
      <x:c r="E7" s="41" t="str">
        <x:v>CDE Veteranos Ajalvir</x:v>
      </x:c>
    </x:row>
    <x:row r="8">
      <x:c r="A8" s="26" t="str">
        <x:v>Jornadas 1.ª fase</x:v>
      </x:c>
      <x:c r="B8" s="27" t="n">
        <x:v>7</x:v>
      </x:c>
      <x:c r="D8" s="40" t="str">
        <x:v>Sporting Cabanillas C.F.</x:v>
      </x:c>
      <x:c r="E8" s="41" t="str">
        <x:v>Paracuellos Veteranos</x:v>
      </x:c>
    </x:row>
    <x:row r="9">
      <x:c r="A9" s="26" t="str">
        <x:v>Jornadas 2.ª fase</x:v>
      </x:c>
      <x:c r="B9" s="27" t="n">
        <x:v>7</x:v>
      </x:c>
      <x:c r="D9" s="40" t="str">
        <x:v>Espinosa de Henares</x:v>
      </x:c>
      <x:c r="E9" s="41" t="str">
        <x:v>AD Naya Veteranos</x:v>
      </x:c>
    </x:row>
    <x:row r="10">
      <x:c r="A10" s="26" t="str">
        <x:v>Total jornadas</x:v>
      </x:c>
      <x:c r="B10" s="27" t="n">
        <x:v>14</x:v>
      </x:c>
      <x:c r="D10" s="40" t="str">
        <x:v>Cifuentes</x:v>
      </x:c>
      <x:c r="E10" s="41" t="str">
        <x:v>Rayo Alcalá</x:v>
      </x:c>
    </x:row>
    <x:row r="11">
      <x:c r="A11" s="28" t="str">
        <x:v>Final fase liga</x:v>
      </x:c>
      <x:c r="B11" s="29" t="str">
        <x:v>15–16 may 2027</x:v>
      </x:c>
      <x:c r="D11" s="42" t="str">
        <x:v>CD Azuqueca Veteranos</x:v>
      </x:c>
      <x:c r="E11" s="43" t="str">
        <x:v>Depor Guadalajara</x:v>
      </x:c>
    </x:row>
    <x:row r="14">
      <x:c r="A14" s="52" t="str">
        <x:v>FORMATO DEFINITIVO</x:v>
      </x:c>
      <x:c r="B14" s="52"/>
      <x:c r="C14" s="52"/>
      <x:c r="D14" s="52"/>
      <x:c r="E14" s="52"/>
      <x:c r="F14" s="52"/>
      <x:c r="G14" s="52"/>
      <x:c r="H14" s="52"/>
    </x:row>
    <x:row r="15">
      <x:c r="A15" s="68" t="str">
        <x:v>1</x:v>
      </x:c>
      <x:c r="B15" s="69" t="str">
        <x:v>Primera fase</x:v>
      </x:c>
      <x:c r="C15" s="70" t="str">
        <x:v>Una vuelta por grupo.</x:v>
      </x:c>
      <x:c r="D15" s="70" t="str">
        <x:v>7 jornadas: 6 partidos y 1 descanso por equipo.</x:v>
      </x:c>
      <x:c r="E15" s="70" t="str"/>
      <x:c r="F15" s="70" t="str"/>
      <x:c r="G15" s="70" t="str"/>
      <x:c r="H15" s="71" t="str"/>
    </x:row>
    <x:row r="16">
      <x:c r="A16" s="72" t="str">
        <x:v>2</x:v>
      </x:c>
      <x:c r="B16" s="63" t="str">
        <x:v>Clasificación Oro</x:v>
      </x:c>
      <x:c r="C16" s="64" t="str">
        <x:v>Los 3 primeros de cada grupo pasan a Oro.</x:v>
      </x:c>
      <x:c r="D16" s="64" t="str">
        <x:v>Se añade el mejor 4.º de ambos grupos.</x:v>
      </x:c>
      <x:c r="E16" s="64" t="str"/>
      <x:c r="F16" s="64" t="str"/>
      <x:c r="G16" s="64" t="str"/>
      <x:c r="H16" s="41" t="str"/>
    </x:row>
    <x:row r="17">
      <x:c r="A17" s="72" t="str">
        <x:v>3</x:v>
      </x:c>
      <x:c r="B17" s="63" t="str">
        <x:v>Clasificación Plata</x:v>
      </x:c>
      <x:c r="C17" s="64" t="str">
        <x:v>Los 3 últimos de cada grupo pasan a Plata.</x:v>
      </x:c>
      <x:c r="D17" s="64" t="str">
        <x:v>Se añade el otro 4.º.</x:v>
      </x:c>
      <x:c r="E17" s="64" t="str"/>
      <x:c r="F17" s="64" t="str"/>
      <x:c r="G17" s="64" t="str"/>
      <x:c r="H17" s="41" t="str"/>
    </x:row>
    <x:row r="18">
      <x:c r="A18" s="72" t="str">
        <x:v>4</x:v>
      </x:c>
      <x:c r="B18" s="63" t="str">
        <x:v>Segunda fase</x:v>
      </x:c>
      <x:c r="C18" s="64" t="str">
        <x:v>Oro y Plata son ligas de 7 equipos a una vuelta.</x:v>
      </x:c>
      <x:c r="D18" s="64" t="str">
        <x:v>7 jornadas: 6 partidos y 1 descanso por equipo.</x:v>
      </x:c>
      <x:c r="E18" s="64" t="str"/>
      <x:c r="F18" s="64" t="str"/>
      <x:c r="G18" s="64" t="str"/>
      <x:c r="H18" s="41" t="str"/>
    </x:row>
    <x:row r="19">
      <x:c r="A19" s="72" t="str">
        <x:v>5</x:v>
      </x:c>
      <x:c r="B19" s="63" t="str">
        <x:v>Mejor 4.º</x:v>
      </x:c>
      <x:c r="C19" s="64" t="str">
        <x:v>Se compara a los dos cuartos clasificados.</x:v>
      </x:c>
      <x:c r="D19" s="64" t="str">
        <x:v>Puntos, diferencia de goles, goles a favor, fair play y sorteo.</x:v>
      </x:c>
      <x:c r="E19" s="64" t="str"/>
      <x:c r="F19" s="64" t="str"/>
      <x:c r="G19" s="64" t="str"/>
      <x:c r="H19" s="41" t="str"/>
    </x:row>
    <x:row r="20">
      <x:c r="A20" s="72" t="str">
        <x:v>6</x:v>
      </x:c>
      <x:c r="B20" s="63" t="str">
        <x:v>Jornadas únicas</x:v>
      </x:c>
      <x:c r="C20" s="64" t="str">
        <x:v>J3 (14–15 noviembre) y J10 (6–7 marzo).</x:v>
      </x:c>
      <x:c r="D20" s="64" t="str">
        <x:v>Son necesarias para terminar la liga el 15–16 de mayo.</x:v>
      </x:c>
      <x:c r="E20" s="64" t="str"/>
      <x:c r="F20" s="64" t="str"/>
      <x:c r="G20" s="64" t="str"/>
      <x:c r="H20" s="41" t="str"/>
    </x:row>
    <x:row r="21">
      <x:c r="A21" s="73" t="str">
        <x:v>7</x:v>
      </x:c>
      <x:c r="B21" s="74" t="str">
        <x:v>Copa</x:v>
      </x:c>
      <x:c r="C21" s="75" t="str">
        <x:v>22–23 y 29–30 de mayo reservados.</x:v>
      </x:c>
      <x:c r="D21" s="75" t="str">
        <x:v>Formato de Copa todavía por definir.</x:v>
      </x:c>
      <x:c r="E21" s="75" t="str"/>
      <x:c r="F21" s="75" t="str"/>
      <x:c r="G21" s="75" t="str"/>
      <x:c r="H21" s="43" t="str"/>
    </x:row>
    <x:row r="23">
      <x:c r="A23" s="86" t="str">
        <x:v>Con 14 jornadas y los fines de semana festivos bloqueados, solo hay 26 fines de semana disponibles desde el 3–4 de octubre hasta el 15–16 de mayo. Por ello, 12 jornadas mantienen doble ventana y 2 jornadas deben disputarse en fecha única.</x:v>
      </x:c>
      <x:c r="B23" s="86"/>
      <x:c r="C23" s="86"/>
      <x:c r="D23" s="86"/>
      <x:c r="E23" s="86"/>
      <x:c r="F23" s="86"/>
      <x:c r="G23" s="86"/>
      <x:c r="H23" s="86"/>
    </x:row>
    <x:row r="24">
      <x:c r="A24" s="86"/>
      <x:c r="B24" s="86"/>
      <x:c r="C24" s="86"/>
      <x:c r="D24" s="86"/>
      <x:c r="E24" s="86"/>
      <x:c r="F24" s="86"/>
      <x:c r="G24" s="86"/>
      <x:c r="H24" s="86"/>
    </x:row>
    <x:row r="25">
      <x:c r="A25" s="86"/>
      <x:c r="B25" s="86"/>
      <x:c r="C25" s="86"/>
      <x:c r="D25" s="86"/>
      <x:c r="E25" s="86"/>
      <x:c r="F25" s="86"/>
      <x:c r="G25" s="86"/>
      <x:c r="H25" s="86"/>
    </x:row>
  </x:sheetData>
  <x:mergeCells>
    <x:mergeCell ref="A1:H2"/>
    <x:mergeCell ref="A14:H14"/>
    <x:mergeCell ref="A23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6" hidden="0" customWidth="1"/>
    <x:col min="5" max="5" width="60" hidden="0" customWidth="1"/>
    <x:col min="6" max="6" width="15" hidden="0" customWidth="1"/>
  </x:cols>
  <x:sheetData>
    <x:row r="1">
      <x:c r="A1" s="5" t="str">
        <x:v>CALENDARIO GENERAL · 14 JORNADAS · FIN 15–16 MAYO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14" t="str">
        <x:v>Jornada</x:v>
      </x:c>
      <x:c r="B4" s="14" t="str">
        <x:v>Ventana 1</x:v>
      </x:c>
      <x:c r="C4" s="14" t="str">
        <x:v>Ventana 2</x:v>
      </x:c>
      <x:c r="D4" s="14" t="str">
        <x:v>Fase</x:v>
      </x:c>
      <x:c r="E4" s="14" t="str">
        <x:v>Observación</x:v>
      </x:c>
      <x:c r="F4" s="14" t="str">
        <x:v>Estado</x:v>
      </x:c>
    </x:row>
    <x:row r="5">
      <x:c r="A5" s="92" t="str">
        <x:v>J1</x:v>
      </x:c>
      <x:c r="B5" s="93" t="str">
        <x:v>3–4 oct 2026</x:v>
      </x:c>
      <x:c r="C5" s="93" t="str">
        <x:v>17–18 oct 2026</x:v>
      </x:c>
      <x:c r="D5" s="93" t="str">
        <x:v>1.ª fase</x:v>
      </x:c>
      <x:c r="E5" s="93" t="str">
        <x:v>Cada partido se acuerda dentro de una de las dos ventanas.</x:v>
      </x:c>
      <x:c r="F5" s="94" t="str">
        <x:v>Programada</x:v>
      </x:c>
    </x:row>
    <x:row r="6">
      <x:c r="A6" s="95" t="str">
        <x:v>J2</x:v>
      </x:c>
      <x:c r="B6" s="96" t="str">
        <x:v>24–25 oct 2026</x:v>
      </x:c>
      <x:c r="C6" s="96" t="str">
        <x:v>7–8 nov 2026</x:v>
      </x:c>
      <x:c r="D6" s="96" t="str">
        <x:v>1.ª fase</x:v>
      </x:c>
      <x:c r="E6" s="96" t="str">
        <x:v>Cada partido se acuerda dentro de una de las dos ventanas.</x:v>
      </x:c>
      <x:c r="F6" s="97" t="str">
        <x:v>Programada</x:v>
      </x:c>
    </x:row>
    <x:row r="7">
      <x:c r="A7" s="116" t="str">
        <x:v>J3</x:v>
      </x:c>
      <x:c r="B7" s="117" t="str">
        <x:v>14–15 nov 2026</x:v>
      </x:c>
      <x:c r="C7" s="117" t="str">
        <x:v>—</x:v>
      </x:c>
      <x:c r="D7" s="117" t="str">
        <x:v>1.ª fase</x:v>
      </x:c>
      <x:c r="E7" s="117" t="str">
        <x:v>JORNADA ÚNICA · todos los partidos deben disputarse este fin de semana.</x:v>
      </x:c>
      <x:c r="F7" s="118" t="str">
        <x:v>Programada</x:v>
      </x:c>
    </x:row>
    <x:row r="8">
      <x:c r="A8" s="95" t="str">
        <x:v>J4</x:v>
      </x:c>
      <x:c r="B8" s="96" t="str">
        <x:v>21–22 nov 2026</x:v>
      </x:c>
      <x:c r="C8" s="96" t="str">
        <x:v>28–29 nov 2026</x:v>
      </x:c>
      <x:c r="D8" s="96" t="str">
        <x:v>1.ª fase</x:v>
      </x:c>
      <x:c r="E8" s="96" t="str">
        <x:v>Cada partido se acuerda dentro de una de las dos ventanas.</x:v>
      </x:c>
      <x:c r="F8" s="97" t="str">
        <x:v>Programada</x:v>
      </x:c>
    </x:row>
    <x:row r="9">
      <x:c r="A9" s="95" t="str">
        <x:v>J5</x:v>
      </x:c>
      <x:c r="B9" s="96" t="str">
        <x:v>12–13 dic 2026</x:v>
      </x:c>
      <x:c r="C9" s="96" t="str">
        <x:v>19–20 dic 2026</x:v>
      </x:c>
      <x:c r="D9" s="96" t="str">
        <x:v>1.ª fase</x:v>
      </x:c>
      <x:c r="E9" s="96" t="str">
        <x:v>Cada partido se acuerda dentro de una de las dos ventanas.</x:v>
      </x:c>
      <x:c r="F9" s="97" t="str">
        <x:v>Programada</x:v>
      </x:c>
    </x:row>
    <x:row r="10">
      <x:c r="A10" s="95" t="str">
        <x:v>J6</x:v>
      </x:c>
      <x:c r="B10" s="96" t="str">
        <x:v>9–10 ene 2027</x:v>
      </x:c>
      <x:c r="C10" s="96" t="str">
        <x:v>16–17 ene 2027</x:v>
      </x:c>
      <x:c r="D10" s="96" t="str">
        <x:v>1.ª fase</x:v>
      </x:c>
      <x:c r="E10" s="96" t="str">
        <x:v>Cada partido se acuerda dentro de una de las dos ventanas.</x:v>
      </x:c>
      <x:c r="F10" s="97" t="str">
        <x:v>Programada</x:v>
      </x:c>
    </x:row>
    <x:row r="11">
      <x:c r="A11" s="95" t="str">
        <x:v>J7</x:v>
      </x:c>
      <x:c r="B11" s="96" t="str">
        <x:v>23–24 ene 2027</x:v>
      </x:c>
      <x:c r="C11" s="96" t="str">
        <x:v>30–31 ene 2027</x:v>
      </x:c>
      <x:c r="D11" s="96" t="str">
        <x:v>1.ª fase</x:v>
      </x:c>
      <x:c r="E11" s="96" t="str">
        <x:v>Cada partido se acuerda dentro de una de las dos ventanas.</x:v>
      </x:c>
      <x:c r="F11" s="97" t="str">
        <x:v>Programada</x:v>
      </x:c>
    </x:row>
    <x:row r="12">
      <x:c r="A12" s="104" t="str">
        <x:v>J8</x:v>
      </x:c>
      <x:c r="B12" s="105" t="str">
        <x:v>6–7 feb 2027</x:v>
      </x:c>
      <x:c r="C12" s="105" t="str">
        <x:v>13–14 feb 2027</x:v>
      </x:c>
      <x:c r="D12" s="105" t="str">
        <x:v>2.ª fase</x:v>
      </x:c>
      <x:c r="E12" s="105" t="str">
        <x:v>Cada partido se acuerda dentro de una de las dos ventanas.</x:v>
      </x:c>
      <x:c r="F12" s="106" t="str">
        <x:v>Programada</x:v>
      </x:c>
    </x:row>
    <x:row r="13">
      <x:c r="A13" s="104" t="str">
        <x:v>J9</x:v>
      </x:c>
      <x:c r="B13" s="105" t="str">
        <x:v>20–21 feb 2027</x:v>
      </x:c>
      <x:c r="C13" s="105" t="str">
        <x:v>27–28 feb 2027</x:v>
      </x:c>
      <x:c r="D13" s="105" t="str">
        <x:v>2.ª fase</x:v>
      </x:c>
      <x:c r="E13" s="105" t="str">
        <x:v>Cada partido se acuerda dentro de una de las dos ventanas.</x:v>
      </x:c>
      <x:c r="F13" s="106" t="str">
        <x:v>Programada</x:v>
      </x:c>
    </x:row>
    <x:row r="14">
      <x:c r="A14" s="116" t="str">
        <x:v>J10</x:v>
      </x:c>
      <x:c r="B14" s="117" t="str">
        <x:v>6–7 mar 2027</x:v>
      </x:c>
      <x:c r="C14" s="117" t="str">
        <x:v>—</x:v>
      </x:c>
      <x:c r="D14" s="117" t="str">
        <x:v>2.ª fase</x:v>
      </x:c>
      <x:c r="E14" s="117" t="str">
        <x:v>JORNADA ÚNICA · todos los partidos deben disputarse este fin de semana.</x:v>
      </x:c>
      <x:c r="F14" s="118" t="str">
        <x:v>Programada</x:v>
      </x:c>
    </x:row>
    <x:row r="15">
      <x:c r="A15" s="104" t="str">
        <x:v>J11</x:v>
      </x:c>
      <x:c r="B15" s="105" t="str">
        <x:v>13–14 mar 2027</x:v>
      </x:c>
      <x:c r="C15" s="105" t="str">
        <x:v>20–21 mar 2027</x:v>
      </x:c>
      <x:c r="D15" s="105" t="str">
        <x:v>2.ª fase</x:v>
      </x:c>
      <x:c r="E15" s="105" t="str">
        <x:v>Cada partido se acuerda dentro de una de las dos ventanas.</x:v>
      </x:c>
      <x:c r="F15" s="106" t="str">
        <x:v>Programada</x:v>
      </x:c>
    </x:row>
    <x:row r="16">
      <x:c r="A16" s="104" t="str">
        <x:v>J12</x:v>
      </x:c>
      <x:c r="B16" s="105" t="str">
        <x:v>3–4 abr 2027</x:v>
      </x:c>
      <x:c r="C16" s="105" t="str">
        <x:v>10–11 abr 2027</x:v>
      </x:c>
      <x:c r="D16" s="105" t="str">
        <x:v>2.ª fase</x:v>
      </x:c>
      <x:c r="E16" s="105" t="str">
        <x:v>Cada partido se acuerda dentro de una de las dos ventanas.</x:v>
      </x:c>
      <x:c r="F16" s="106" t="str">
        <x:v>Programada</x:v>
      </x:c>
    </x:row>
    <x:row r="17">
      <x:c r="A17" s="104" t="str">
        <x:v>J13</x:v>
      </x:c>
      <x:c r="B17" s="105" t="str">
        <x:v>17–18 abr 2027</x:v>
      </x:c>
      <x:c r="C17" s="105" t="str">
        <x:v>24–25 abr 2027</x:v>
      </x:c>
      <x:c r="D17" s="105" t="str">
        <x:v>2.ª fase</x:v>
      </x:c>
      <x:c r="E17" s="105" t="str">
        <x:v>Cada partido se acuerda dentro de una de las dos ventanas.</x:v>
      </x:c>
      <x:c r="F17" s="106" t="str">
        <x:v>Programada</x:v>
      </x:c>
    </x:row>
    <x:row r="18">
      <x:c r="A18" s="107" t="str">
        <x:v>J14</x:v>
      </x:c>
      <x:c r="B18" s="108" t="str">
        <x:v>8–9 may 2027</x:v>
      </x:c>
      <x:c r="C18" s="108" t="str">
        <x:v>15–16 may 2027</x:v>
      </x:c>
      <x:c r="D18" s="108" t="str">
        <x:v>2.ª fase</x:v>
      </x:c>
      <x:c r="E18" s="108" t="str">
        <x:v>Cada partido se acuerda dentro de una de las dos ventanas.</x:v>
      </x:c>
      <x:c r="F18" s="109" t="str">
        <x:v>Programada</x:v>
      </x:c>
    </x:row>
    <x:row r="20">
      <x:c r="A20" s="52" t="str">
        <x:v>FINES DE SEMANA SIN LIGA</x:v>
      </x:c>
      <x:c r="B20" s="52" t="str">
        <x:v>Fecha</x:v>
      </x:c>
      <x:c r="C20" s="52" t="str"/>
      <x:c r="D20" s="52" t="str"/>
      <x:c r="E20" s="52" t="str">
        <x:v>Motivo</x:v>
      </x:c>
      <x:c r="F20" s="52" t="str"/>
    </x:row>
    <x:row r="21">
      <x:c r="A21" s="126" t="str">
        <x:v>Sin jornada</x:v>
      </x:c>
      <x:c r="B21" s="127" t="str">
        <x:v>10–11 oct 2026</x:v>
      </x:c>
      <x:c r="C21" s="127" t="str"/>
      <x:c r="D21" s="127" t="str"/>
      <x:c r="E21" s="127" t="str">
        <x:v>Puente del 12 de octubre / Fiesta Nacional</x:v>
      </x:c>
      <x:c r="F21" s="128" t="str">
        <x:v>Bloqueado</x:v>
      </x:c>
    </x:row>
    <x:row r="22">
      <x:c r="A22" s="129" t="str">
        <x:v>Sin jornada</x:v>
      </x:c>
      <x:c r="B22" s="124" t="str">
        <x:v>31 oct–1 nov 2026</x:v>
      </x:c>
      <x:c r="C22" s="124" t="str"/>
      <x:c r="D22" s="124" t="str"/>
      <x:c r="E22" s="124" t="str">
        <x:v>Todos los Santos / traslado</x:v>
      </x:c>
      <x:c r="F22" s="130" t="str">
        <x:v>Bloqueado</x:v>
      </x:c>
    </x:row>
    <x:row r="23">
      <x:c r="A23" s="129" t="str">
        <x:v>Sin jornada</x:v>
      </x:c>
      <x:c r="B23" s="124" t="str">
        <x:v>5–6 dic 2026</x:v>
      </x:c>
      <x:c r="C23" s="124" t="str"/>
      <x:c r="D23" s="124" t="str"/>
      <x:c r="E23" s="124" t="str">
        <x:v>Puente de Constitución e Inmaculada</x:v>
      </x:c>
      <x:c r="F23" s="130" t="str">
        <x:v>Bloqueado</x:v>
      </x:c>
    </x:row>
    <x:row r="24">
      <x:c r="A24" s="129" t="str">
        <x:v>Sin jornada</x:v>
      </x:c>
      <x:c r="B24" s="124" t="str">
        <x:v>26–27 dic 2026</x:v>
      </x:c>
      <x:c r="C24" s="124" t="str"/>
      <x:c r="D24" s="124" t="str"/>
      <x:c r="E24" s="124" t="str">
        <x:v>Navidad</x:v>
      </x:c>
      <x:c r="F24" s="130" t="str">
        <x:v>Bloqueado</x:v>
      </x:c>
    </x:row>
    <x:row r="25">
      <x:c r="A25" s="129" t="str">
        <x:v>Sin jornada</x:v>
      </x:c>
      <x:c r="B25" s="124" t="str">
        <x:v>2–3 ene 2027</x:v>
      </x:c>
      <x:c r="C25" s="124" t="str"/>
      <x:c r="D25" s="124" t="str"/>
      <x:c r="E25" s="124" t="str">
        <x:v>Año Nuevo / Reyes</x:v>
      </x:c>
      <x:c r="F25" s="130" t="str">
        <x:v>Bloqueado</x:v>
      </x:c>
    </x:row>
    <x:row r="26">
      <x:c r="A26" s="129" t="str">
        <x:v>Sin jornada</x:v>
      </x:c>
      <x:c r="B26" s="124" t="str">
        <x:v>27–28 mar 2027</x:v>
      </x:c>
      <x:c r="C26" s="124" t="str"/>
      <x:c r="D26" s="124" t="str"/>
      <x:c r="E26" s="124" t="str">
        <x:v>Semana Santa</x:v>
      </x:c>
      <x:c r="F26" s="130" t="str">
        <x:v>Bloqueado</x:v>
      </x:c>
    </x:row>
    <x:row r="27">
      <x:c r="A27" s="131" t="str">
        <x:v>Sin jornada</x:v>
      </x:c>
      <x:c r="B27" s="132" t="str">
        <x:v>1–2 may 2027</x:v>
      </x:c>
      <x:c r="C27" s="132" t="str"/>
      <x:c r="D27" s="132" t="str"/>
      <x:c r="E27" s="132" t="str">
        <x:v>Fiesta del Trabajo / Comunidad de Madrid</x:v>
      </x:c>
      <x:c r="F27" s="133" t="str">
        <x:v>Bloqueado</x:v>
      </x:c>
    </x:row>
    <x:row r="29">
      <x:c r="A29" s="145" t="str">
        <x:v>COPA · FECHAS RESERVADAS</x:v>
      </x:c>
      <x:c r="B29" s="145" t="str">
        <x:v>Fecha</x:v>
      </x:c>
      <x:c r="C29" s="145" t="str"/>
      <x:c r="D29" s="145" t="str"/>
      <x:c r="E29" s="145" t="str">
        <x:v>Situación</x:v>
      </x:c>
      <x:c r="F29" s="145" t="str"/>
    </x:row>
    <x:row r="30">
      <x:c r="A30" s="150" t="str">
        <x:v>Copa</x:v>
      </x:c>
      <x:c r="B30" s="151" t="str">
        <x:v>22–23 may 2027</x:v>
      </x:c>
      <x:c r="C30" s="151" t="str"/>
      <x:c r="D30" s="151" t="str"/>
      <x:c r="E30" s="151" t="str">
        <x:v>Fin de semana reservado para Copa · formato pendiente</x:v>
      </x:c>
      <x:c r="F30" s="152" t="str">
        <x:v>Reservado</x:v>
      </x:c>
    </x:row>
    <x:row r="31">
      <x:c r="A31" s="153" t="str">
        <x:v>Copa</x:v>
      </x:c>
      <x:c r="B31" s="154" t="str">
        <x:v>29–30 may 2027</x:v>
      </x:c>
      <x:c r="C31" s="154" t="str"/>
      <x:c r="D31" s="154" t="str"/>
      <x:c r="E31" s="154" t="str">
        <x:v>Fin de semana reservado para Copa · formato pendiente</x:v>
      </x:c>
      <x:c r="F31" s="155" t="str">
        <x:v>Reservado</x:v>
      </x:c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19" hidden="0" customWidth="1"/>
    <x:col min="5" max="5" width="19" hidden="0" customWidth="1"/>
    <x:col min="6" max="6" width="16" hidden="0" customWidth="1"/>
    <x:col min="7" max="7" width="10" hidden="0" customWidth="1"/>
    <x:col min="8" max="8" width="9" hidden="0" customWidth="1"/>
    <x:col min="9" max="9" width="9" hidden="0" customWidth="1"/>
    <x:col min="10" max="10" width="13" hidden="0" customWidth="1"/>
    <x:col min="12" max="12" width="2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18" hidden="0" customWidth="1"/>
  </x:cols>
  <x:sheetData>
    <x:row r="1">
      <x:c r="A1" s="5" t="str">
        <x:v>1.ª FASE · GRUPO GUADALAJARA</x:v>
      </x:c>
      <x:c r="B1" s="5"/>
      <x:c r="C1" s="5"/>
      <x:c r="D1" s="5"/>
      <x:c r="E1" s="5"/>
      <x:c r="F1" s="5"/>
      <x:c r="G1" s="5"/>
      <x:c r="H1" s="5"/>
      <x:c r="I1" s="5"/>
      <x:c r="J1" s="5"/>
      <x:c r="L1" s="5" t="str">
        <x:v>CLASIFICACIÓN</x:v>
      </x:c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>
      <x:c r="A4" s="14" t="str">
        <x:v>Jornada</x:v>
      </x:c>
      <x:c r="B4" s="14" t="str">
        <x:v>Local</x:v>
      </x:c>
      <x:c r="C4" s="14" t="str">
        <x:v>Visitante</x:v>
      </x:c>
      <x:c r="D4" s="14" t="str">
        <x:v>Ventana 1</x:v>
      </x:c>
      <x:c r="E4" s="14" t="str">
        <x:v>Ventana 2</x:v>
      </x:c>
      <x:c r="F4" s="14" t="str">
        <x:v>Fecha acordada</x:v>
      </x:c>
      <x:c r="G4" s="14" t="str">
        <x:v>Hora</x:v>
      </x:c>
      <x:c r="H4" s="14" t="str">
        <x:v>Goles L</x:v>
      </x:c>
      <x:c r="I4" s="14" t="str">
        <x:v>Goles V</x:v>
      </x:c>
      <x:c r="J4" s="14" t="str">
        <x:v>Estado</x:v>
      </x:c>
      <x:c r="L4" s="14" t="str">
        <x:v>Equipo</x:v>
      </x:c>
      <x:c r="M4" s="14" t="str">
        <x:v>PJ</x:v>
      </x:c>
      <x:c r="N4" s="14" t="str">
        <x:v>PG</x:v>
      </x:c>
      <x:c r="O4" s="14" t="str">
        <x:v>PE</x:v>
      </x:c>
      <x:c r="P4" s="14" t="str">
        <x:v>PP</x:v>
      </x:c>
      <x:c r="Q4" s="14" t="str">
        <x:v>GF</x:v>
      </x:c>
      <x:c r="R4" s="14" t="str">
        <x:v>GC</x:v>
      </x:c>
      <x:c r="S4" s="14" t="str">
        <x:v>DG</x:v>
      </x:c>
      <x:c r="T4" s="14" t="str">
        <x:v>Pts</x:v>
      </x:c>
      <x:c r="U4" s="14" t="str">
        <x:v>Pos.</x:v>
      </x:c>
      <x:c r="V4" s="14" t="str">
        <x:v>Destino</x:v>
      </x:c>
    </x:row>
    <x:row r="5">
      <x:c r="A5" s="90" t="n">
        <x:v>1</x:v>
      </x:c>
      <x:c r="B5" s="70" t="str">
        <x:v>Dinamo Guadalajara</x:v>
      </x:c>
      <x:c r="C5" s="70" t="str">
        <x:v>DESCANSA</x:v>
      </x:c>
      <x:c r="D5" s="70" t="str">
        <x:v>3–4 oct 2026</x:v>
      </x:c>
      <x:c r="E5" s="70" t="str">
        <x:v>17–18 oct 2026</x:v>
      </x:c>
      <x:c r="F5" s="70" t="str"/>
      <x:c r="G5" s="70" t="str"/>
      <x:c r="H5" s="70" t="str"/>
      <x:c r="I5" s="70" t="str"/>
      <x:c r="J5" s="71" t="str">
        <x:f>IF(C5="DESCANSA","Descanso",IF(AND(ISNUMBER(H5),ISNUMBER(I5)),"Jugado","Pendiente"))</x:f>
        <x:v>Descanso</x:v>
      </x:c>
      <x:c r="L5" s="162" t="str">
        <x:v>Dinamo Guadalajara</x:v>
      </x:c>
      <x:c r="M5" s="163" t="n">
        <x:f>COUNTIFS($B$5:$B$32,L5,$J$5:$J$32,"Jugado")+COUNTIFS($C$5:$C$32,L5,$J$5:$J$32,"Jugado")</x:f>
        <x:v>0</x:v>
      </x:c>
      <x:c r="N5" s="163" t="n">
        <x:f>SUMPRODUCT(($B$5:$B$32=L5)*($J$5:$J$32="Jugado")*($H$5:$H$32&gt;$I$5:$I$32))+SUMPRODUCT(($C$5:$C$32=L5)*($J$5:$J$32="Jugado")*($I$5:$I$32&gt;$H$5:$H$32))</x:f>
        <x:v>0</x:v>
      </x:c>
      <x:c r="O5" s="163" t="n">
        <x:f>SUMPRODUCT(($J$5:$J$32="Jugado")*(($B$5:$B$32=L5)+($C$5:$C$32=L5))*($H$5:$H$32=$I$5:$I$32))</x:f>
        <x:v>0</x:v>
      </x:c>
      <x:c r="P5" s="163" t="n">
        <x:f>M5-N5-O5</x:f>
        <x:v>0</x:v>
      </x:c>
      <x:c r="Q5" s="163" t="n">
        <x:f>SUMIFS($H$5:$H$32,$B$5:$B$32,L5,$J$5:$J$32,"Jugado")+SUMIFS($I$5:$I$32,$C$5:$C$32,L5,$J$5:$J$32,"Jugado")</x:f>
        <x:v>0</x:v>
      </x:c>
      <x:c r="R5" s="163" t="n">
        <x:f>SUMIFS($I$5:$I$32,$B$5:$B$32,L5,$J$5:$J$32,"Jugado")+SUMIFS($H$5:$H$32,$C$5:$C$32,L5,$J$5:$J$32,"Jugado")</x:f>
        <x:v>0</x:v>
      </x:c>
      <x:c r="S5" s="163" t="n">
        <x:f>Q5-R5</x:f>
        <x:v>0</x:v>
      </x:c>
      <x:c r="T5" s="163" t="n">
        <x:f>N5*3+O5</x:f>
        <x:v>0</x:v>
      </x:c>
      <x:c r="U5" s="163" t="n">
        <x:f>1+SUMPRODUCT(($T$5:$T$11&gt;T5)+($T$5:$T$11=T5)*($S$5:$S$11&gt;S5))</x:f>
        <x:v>1</x:v>
      </x:c>
      <x:c r="V5" s="164" t="str">
        <x:f>IF(U5&lt;=3,"Oro",IF(U5=4,"Comparar 4.º","Plata"))</x:f>
        <x:v>Oro</x:v>
      </x:c>
    </x:row>
    <x:row r="6">
      <x:c r="A6" s="40" t="n">
        <x:v>1</x:v>
      </x:c>
      <x:c r="B6" s="64" t="str">
        <x:v>CD Azuqueca Veteranos</x:v>
      </x:c>
      <x:c r="C6" s="64" t="str">
        <x:v>ED Ciudad Valdeluz VT</x:v>
      </x:c>
      <x:c r="D6" s="64" t="str">
        <x:v>3–4 oct 2026</x:v>
      </x:c>
      <x:c r="E6" s="64" t="str">
        <x:v>17–18 oct 2026</x:v>
      </x:c>
      <x:c r="F6" s="64" t="str"/>
      <x:c r="G6" s="64" t="str"/>
      <x:c r="H6" s="64" t="str"/>
      <x:c r="I6" s="64" t="str"/>
      <x:c r="J6" s="41" t="str">
        <x:f>IF(C6="DESCANSA","Descanso",IF(AND(ISNUMBER(H6),ISNUMBER(I6)),"Jugado","Pendiente"))</x:f>
        <x:v>Pendiente</x:v>
      </x:c>
      <x:c r="L6" s="36" t="str">
        <x:v>ED Ciudad Valdeluz VT</x:v>
      </x:c>
      <x:c r="M6" s="165" t="n">
        <x:f>COUNTIFS($B$5:$B$32,L6,$J$5:$J$32,"Jugado")+COUNTIFS($C$5:$C$32,L6,$J$5:$J$32,"Jugado")</x:f>
        <x:v>0</x:v>
      </x:c>
      <x:c r="N6" s="165" t="n">
        <x:f>SUMPRODUCT(($B$5:$B$32=L6)*($J$5:$J$32="Jugado")*($H$5:$H$32&gt;$I$5:$I$32))+SUMPRODUCT(($C$5:$C$32=L6)*($J$5:$J$32="Jugado")*($I$5:$I$32&gt;$H$5:$H$32))</x:f>
        <x:v>0</x:v>
      </x:c>
      <x:c r="O6" s="165" t="n">
        <x:f>SUMPRODUCT(($J$5:$J$32="Jugado")*(($B$5:$B$32=L6)+($C$5:$C$32=L6))*($H$5:$H$32=$I$5:$I$32))</x:f>
        <x:v>0</x:v>
      </x:c>
      <x:c r="P6" s="165" t="n">
        <x:f>M6-N6-O6</x:f>
        <x:v>0</x:v>
      </x:c>
      <x:c r="Q6" s="165" t="n">
        <x:f>SUMIFS($H$5:$H$32,$B$5:$B$32,L6,$J$5:$J$32,"Jugado")+SUMIFS($I$5:$I$32,$C$5:$C$32,L6,$J$5:$J$32,"Jugado")</x:f>
        <x:v>0</x:v>
      </x:c>
      <x:c r="R6" s="165" t="n">
        <x:f>SUMIFS($I$5:$I$32,$B$5:$B$32,L6,$J$5:$J$32,"Jugado")+SUMIFS($H$5:$H$32,$C$5:$C$32,L6,$J$5:$J$32,"Jugado")</x:f>
        <x:v>0</x:v>
      </x:c>
      <x:c r="S6" s="165" t="n">
        <x:f>Q6-R6</x:f>
        <x:v>0</x:v>
      </x:c>
      <x:c r="T6" s="165" t="n">
        <x:f>N6*3+O6</x:f>
        <x:v>0</x:v>
      </x:c>
      <x:c r="U6" s="165" t="n">
        <x:f>1+SUMPRODUCT(($T$5:$T$11&gt;T6)+($T$5:$T$11=T6)*($S$5:$S$11&gt;S6))</x:f>
        <x:v>1</x:v>
      </x:c>
      <x:c r="V6" s="27" t="str">
        <x:f>IF(U6&lt;=3,"Oro",IF(U6=4,"Comparar 4.º","Plata"))</x:f>
        <x:v>Oro</x:v>
      </x:c>
    </x:row>
    <x:row r="7">
      <x:c r="A7" s="40" t="n">
        <x:v>1</x:v>
      </x:c>
      <x:c r="B7" s="64" t="str">
        <x:v>ACDM Horche Veteranos</x:v>
      </x:c>
      <x:c r="C7" s="64" t="str">
        <x:v>Cifuentes</x:v>
      </x:c>
      <x:c r="D7" s="64" t="str">
        <x:v>3–4 oct 2026</x:v>
      </x:c>
      <x:c r="E7" s="64" t="str">
        <x:v>17–18 oct 2026</x:v>
      </x:c>
      <x:c r="F7" s="64" t="str"/>
      <x:c r="G7" s="64" t="str"/>
      <x:c r="H7" s="64" t="str"/>
      <x:c r="I7" s="64" t="str"/>
      <x:c r="J7" s="41" t="str">
        <x:f>IF(C7="DESCANSA","Descanso",IF(AND(ISNUMBER(H7),ISNUMBER(I7)),"Jugado","Pendiente"))</x:f>
        <x:v>Pendiente</x:v>
      </x:c>
      <x:c r="L7" s="36" t="str">
        <x:v>ACDM Horche Veteranos</x:v>
      </x:c>
      <x:c r="M7" s="165" t="n">
        <x:f>COUNTIFS($B$5:$B$32,L7,$J$5:$J$32,"Jugado")+COUNTIFS($C$5:$C$32,L7,$J$5:$J$32,"Jugado")</x:f>
        <x:v>0</x:v>
      </x:c>
      <x:c r="N7" s="165" t="n">
        <x:f>SUMPRODUCT(($B$5:$B$32=L7)*($J$5:$J$32="Jugado")*($H$5:$H$32&gt;$I$5:$I$32))+SUMPRODUCT(($C$5:$C$32=L7)*($J$5:$J$32="Jugado")*($I$5:$I$32&gt;$H$5:$H$32))</x:f>
        <x:v>0</x:v>
      </x:c>
      <x:c r="O7" s="165" t="n">
        <x:f>SUMPRODUCT(($J$5:$J$32="Jugado")*(($B$5:$B$32=L7)+($C$5:$C$32=L7))*($H$5:$H$32=$I$5:$I$32))</x:f>
        <x:v>0</x:v>
      </x:c>
      <x:c r="P7" s="165" t="n">
        <x:f>M7-N7-O7</x:f>
        <x:v>0</x:v>
      </x:c>
      <x:c r="Q7" s="165" t="n">
        <x:f>SUMIFS($H$5:$H$32,$B$5:$B$32,L7,$J$5:$J$32,"Jugado")+SUMIFS($I$5:$I$32,$C$5:$C$32,L7,$J$5:$J$32,"Jugado")</x:f>
        <x:v>0</x:v>
      </x:c>
      <x:c r="R7" s="165" t="n">
        <x:f>SUMIFS($I$5:$I$32,$B$5:$B$32,L7,$J$5:$J$32,"Jugado")+SUMIFS($H$5:$H$32,$C$5:$C$32,L7,$J$5:$J$32,"Jugado")</x:f>
        <x:v>0</x:v>
      </x:c>
      <x:c r="S7" s="165" t="n">
        <x:f>Q7-R7</x:f>
        <x:v>0</x:v>
      </x:c>
      <x:c r="T7" s="165" t="n">
        <x:f>N7*3+O7</x:f>
        <x:v>0</x:v>
      </x:c>
      <x:c r="U7" s="165" t="n">
        <x:f>1+SUMPRODUCT(($T$5:$T$11&gt;T7)+($T$5:$T$11=T7)*($S$5:$S$11&gt;S7))</x:f>
        <x:v>1</x:v>
      </x:c>
      <x:c r="V7" s="27" t="str">
        <x:f>IF(U7&lt;=3,"Oro",IF(U7=4,"Comparar 4.º","Plata"))</x:f>
        <x:v>Oro</x:v>
      </x:c>
    </x:row>
    <x:row r="8">
      <x:c r="A8" s="40" t="n">
        <x:v>1</x:v>
      </x:c>
      <x:c r="B8" s="64" t="str">
        <x:v>Espinosa de Henares</x:v>
      </x:c>
      <x:c r="C8" s="64" t="str">
        <x:v>Sporting Cabanillas C.F.</x:v>
      </x:c>
      <x:c r="D8" s="64" t="str">
        <x:v>3–4 oct 2026</x:v>
      </x:c>
      <x:c r="E8" s="64" t="str">
        <x:v>17–18 oct 2026</x:v>
      </x:c>
      <x:c r="F8" s="64" t="str"/>
      <x:c r="G8" s="64" t="str"/>
      <x:c r="H8" s="64" t="str"/>
      <x:c r="I8" s="64" t="str"/>
      <x:c r="J8" s="41" t="str">
        <x:f>IF(C8="DESCANSA","Descanso",IF(AND(ISNUMBER(H8),ISNUMBER(I8)),"Jugado","Pendiente"))</x:f>
        <x:v>Pendiente</x:v>
      </x:c>
      <x:c r="L8" s="36" t="str">
        <x:v>Sporting Cabanillas C.F.</x:v>
      </x:c>
      <x:c r="M8" s="165" t="n">
        <x:f>COUNTIFS($B$5:$B$32,L8,$J$5:$J$32,"Jugado")+COUNTIFS($C$5:$C$32,L8,$J$5:$J$32,"Jugado")</x:f>
        <x:v>0</x:v>
      </x:c>
      <x:c r="N8" s="165" t="n">
        <x:f>SUMPRODUCT(($B$5:$B$32=L8)*($J$5:$J$32="Jugado")*($H$5:$H$32&gt;$I$5:$I$32))+SUMPRODUCT(($C$5:$C$32=L8)*($J$5:$J$32="Jugado")*($I$5:$I$32&gt;$H$5:$H$32))</x:f>
        <x:v>0</x:v>
      </x:c>
      <x:c r="O8" s="165" t="n">
        <x:f>SUMPRODUCT(($J$5:$J$32="Jugado")*(($B$5:$B$32=L8)+($C$5:$C$32=L8))*($H$5:$H$32=$I$5:$I$32))</x:f>
        <x:v>0</x:v>
      </x:c>
      <x:c r="P8" s="165" t="n">
        <x:f>M8-N8-O8</x:f>
        <x:v>0</x:v>
      </x:c>
      <x:c r="Q8" s="165" t="n">
        <x:f>SUMIFS($H$5:$H$32,$B$5:$B$32,L8,$J$5:$J$32,"Jugado")+SUMIFS($I$5:$I$32,$C$5:$C$32,L8,$J$5:$J$32,"Jugado")</x:f>
        <x:v>0</x:v>
      </x:c>
      <x:c r="R8" s="165" t="n">
        <x:f>SUMIFS($I$5:$I$32,$B$5:$B$32,L8,$J$5:$J$32,"Jugado")+SUMIFS($H$5:$H$32,$C$5:$C$32,L8,$J$5:$J$32,"Jugado")</x:f>
        <x:v>0</x:v>
      </x:c>
      <x:c r="S8" s="165" t="n">
        <x:f>Q8-R8</x:f>
        <x:v>0</x:v>
      </x:c>
      <x:c r="T8" s="165" t="n">
        <x:f>N8*3+O8</x:f>
        <x:v>0</x:v>
      </x:c>
      <x:c r="U8" s="165" t="n">
        <x:f>1+SUMPRODUCT(($T$5:$T$11&gt;T8)+($T$5:$T$11=T8)*($S$5:$S$11&gt;S8))</x:f>
        <x:v>1</x:v>
      </x:c>
      <x:c r="V8" s="27" t="str">
        <x:f>IF(U8&lt;=3,"Oro",IF(U8=4,"Comparar 4.º","Plata"))</x:f>
        <x:v>Oro</x:v>
      </x:c>
    </x:row>
    <x:row r="9">
      <x:c r="A9" s="40" t="n">
        <x:v>2</x:v>
      </x:c>
      <x:c r="B9" s="64" t="str">
        <x:v>CD Azuqueca Veteranos</x:v>
      </x:c>
      <x:c r="C9" s="64" t="str">
        <x:v>Dinamo Guadalajara</x:v>
      </x:c>
      <x:c r="D9" s="64" t="str">
        <x:v>24–25 oct 2026</x:v>
      </x:c>
      <x:c r="E9" s="64" t="str">
        <x:v>7–8 nov 2026</x:v>
      </x:c>
      <x:c r="F9" s="64" t="str"/>
      <x:c r="G9" s="64" t="str"/>
      <x:c r="H9" s="64" t="str"/>
      <x:c r="I9" s="64" t="str"/>
      <x:c r="J9" s="41" t="str">
        <x:f>IF(C9="DESCANSA","Descanso",IF(AND(ISNUMBER(H9),ISNUMBER(I9)),"Jugado","Pendiente"))</x:f>
        <x:v>Pendiente</x:v>
      </x:c>
      <x:c r="L9" s="36" t="str">
        <x:v>Espinosa de Henares</x:v>
      </x:c>
      <x:c r="M9" s="165" t="n">
        <x:f>COUNTIFS($B$5:$B$32,L9,$J$5:$J$32,"Jugado")+COUNTIFS($C$5:$C$32,L9,$J$5:$J$32,"Jugado")</x:f>
        <x:v>0</x:v>
      </x:c>
      <x:c r="N9" s="165" t="n">
        <x:f>SUMPRODUCT(($B$5:$B$32=L9)*($J$5:$J$32="Jugado")*($H$5:$H$32&gt;$I$5:$I$32))+SUMPRODUCT(($C$5:$C$32=L9)*($J$5:$J$32="Jugado")*($I$5:$I$32&gt;$H$5:$H$32))</x:f>
        <x:v>0</x:v>
      </x:c>
      <x:c r="O9" s="165" t="n">
        <x:f>SUMPRODUCT(($J$5:$J$32="Jugado")*(($B$5:$B$32=L9)+($C$5:$C$32=L9))*($H$5:$H$32=$I$5:$I$32))</x:f>
        <x:v>0</x:v>
      </x:c>
      <x:c r="P9" s="165" t="n">
        <x:f>M9-N9-O9</x:f>
        <x:v>0</x:v>
      </x:c>
      <x:c r="Q9" s="165" t="n">
        <x:f>SUMIFS($H$5:$H$32,$B$5:$B$32,L9,$J$5:$J$32,"Jugado")+SUMIFS($I$5:$I$32,$C$5:$C$32,L9,$J$5:$J$32,"Jugado")</x:f>
        <x:v>0</x:v>
      </x:c>
      <x:c r="R9" s="165" t="n">
        <x:f>SUMIFS($I$5:$I$32,$B$5:$B$32,L9,$J$5:$J$32,"Jugado")+SUMIFS($H$5:$H$32,$C$5:$C$32,L9,$J$5:$J$32,"Jugado")</x:f>
        <x:v>0</x:v>
      </x:c>
      <x:c r="S9" s="165" t="n">
        <x:f>Q9-R9</x:f>
        <x:v>0</x:v>
      </x:c>
      <x:c r="T9" s="165" t="n">
        <x:f>N9*3+O9</x:f>
        <x:v>0</x:v>
      </x:c>
      <x:c r="U9" s="165" t="n">
        <x:f>1+SUMPRODUCT(($T$5:$T$11&gt;T9)+($T$5:$T$11=T9)*($S$5:$S$11&gt;S9))</x:f>
        <x:v>1</x:v>
      </x:c>
      <x:c r="V9" s="27" t="str">
        <x:f>IF(U9&lt;=3,"Oro",IF(U9=4,"Comparar 4.º","Plata"))</x:f>
        <x:v>Oro</x:v>
      </x:c>
    </x:row>
    <x:row r="10">
      <x:c r="A10" s="40" t="n">
        <x:v>2</x:v>
      </x:c>
      <x:c r="B10" s="64" t="str">
        <x:v>Cifuentes</x:v>
      </x:c>
      <x:c r="C10" s="64" t="str">
        <x:v>DESCANSA</x:v>
      </x:c>
      <x:c r="D10" s="64" t="str">
        <x:v>24–25 oct 2026</x:v>
      </x:c>
      <x:c r="E10" s="64" t="str">
        <x:v>7–8 nov 2026</x:v>
      </x:c>
      <x:c r="F10" s="64" t="str"/>
      <x:c r="G10" s="64" t="str"/>
      <x:c r="H10" s="64" t="str"/>
      <x:c r="I10" s="64" t="str"/>
      <x:c r="J10" s="41" t="str">
        <x:f>IF(C10="DESCANSA","Descanso",IF(AND(ISNUMBER(H10),ISNUMBER(I10)),"Jugado","Pendiente"))</x:f>
        <x:v>Descanso</x:v>
      </x:c>
      <x:c r="L10" s="36" t="str">
        <x:v>Cifuentes</x:v>
      </x:c>
      <x:c r="M10" s="165" t="n">
        <x:f>COUNTIFS($B$5:$B$32,L10,$J$5:$J$32,"Jugado")+COUNTIFS($C$5:$C$32,L10,$J$5:$J$32,"Jugado")</x:f>
        <x:v>0</x:v>
      </x:c>
      <x:c r="N10" s="165" t="n">
        <x:f>SUMPRODUCT(($B$5:$B$32=L10)*($J$5:$J$32="Jugado")*($H$5:$H$32&gt;$I$5:$I$32))+SUMPRODUCT(($C$5:$C$32=L10)*($J$5:$J$32="Jugado")*($I$5:$I$32&gt;$H$5:$H$32))</x:f>
        <x:v>0</x:v>
      </x:c>
      <x:c r="O10" s="165" t="n">
        <x:f>SUMPRODUCT(($J$5:$J$32="Jugado")*(($B$5:$B$32=L10)+($C$5:$C$32=L10))*($H$5:$H$32=$I$5:$I$32))</x:f>
        <x:v>0</x:v>
      </x:c>
      <x:c r="P10" s="165" t="n">
        <x:f>M10-N10-O10</x:f>
        <x:v>0</x:v>
      </x:c>
      <x:c r="Q10" s="165" t="n">
        <x:f>SUMIFS($H$5:$H$32,$B$5:$B$32,L10,$J$5:$J$32,"Jugado")+SUMIFS($I$5:$I$32,$C$5:$C$32,L10,$J$5:$J$32,"Jugado")</x:f>
        <x:v>0</x:v>
      </x:c>
      <x:c r="R10" s="165" t="n">
        <x:f>SUMIFS($I$5:$I$32,$B$5:$B$32,L10,$J$5:$J$32,"Jugado")+SUMIFS($H$5:$H$32,$C$5:$C$32,L10,$J$5:$J$32,"Jugado")</x:f>
        <x:v>0</x:v>
      </x:c>
      <x:c r="S10" s="165" t="n">
        <x:f>Q10-R10</x:f>
        <x:v>0</x:v>
      </x:c>
      <x:c r="T10" s="165" t="n">
        <x:f>N10*3+O10</x:f>
        <x:v>0</x:v>
      </x:c>
      <x:c r="U10" s="165" t="n">
        <x:f>1+SUMPRODUCT(($T$5:$T$11&gt;T10)+($T$5:$T$11=T10)*($S$5:$S$11&gt;S10))</x:f>
        <x:v>1</x:v>
      </x:c>
      <x:c r="V10" s="27" t="str">
        <x:f>IF(U10&lt;=3,"Oro",IF(U10=4,"Comparar 4.º","Plata"))</x:f>
        <x:v>Oro</x:v>
      </x:c>
    </x:row>
    <x:row r="11">
      <x:c r="A11" s="40" t="n">
        <x:v>2</x:v>
      </x:c>
      <x:c r="B11" s="64" t="str">
        <x:v>Espinosa de Henares</x:v>
      </x:c>
      <x:c r="C11" s="64" t="str">
        <x:v>ED Ciudad Valdeluz VT</x:v>
      </x:c>
      <x:c r="D11" s="64" t="str">
        <x:v>24–25 oct 2026</x:v>
      </x:c>
      <x:c r="E11" s="64" t="str">
        <x:v>7–8 nov 2026</x:v>
      </x:c>
      <x:c r="F11" s="64" t="str"/>
      <x:c r="G11" s="64" t="str"/>
      <x:c r="H11" s="64" t="str"/>
      <x:c r="I11" s="64" t="str"/>
      <x:c r="J11" s="41" t="str">
        <x:f>IF(C11="DESCANSA","Descanso",IF(AND(ISNUMBER(H11),ISNUMBER(I11)),"Jugado","Pendiente"))</x:f>
        <x:v>Pendiente</x:v>
      </x:c>
      <x:c r="L11" s="37" t="str">
        <x:v>CD Azuqueca Veteranos</x:v>
      </x:c>
      <x:c r="M11" s="166" t="n">
        <x:f>COUNTIFS($B$5:$B$32,L11,$J$5:$J$32,"Jugado")+COUNTIFS($C$5:$C$32,L11,$J$5:$J$32,"Jugado")</x:f>
        <x:v>0</x:v>
      </x:c>
      <x:c r="N11" s="166" t="n">
        <x:f>SUMPRODUCT(($B$5:$B$32=L11)*($J$5:$J$32="Jugado")*($H$5:$H$32&gt;$I$5:$I$32))+SUMPRODUCT(($C$5:$C$32=L11)*($J$5:$J$32="Jugado")*($I$5:$I$32&gt;$H$5:$H$32))</x:f>
        <x:v>0</x:v>
      </x:c>
      <x:c r="O11" s="166" t="n">
        <x:f>SUMPRODUCT(($J$5:$J$32="Jugado")*(($B$5:$B$32=L11)+($C$5:$C$32=L11))*($H$5:$H$32=$I$5:$I$32))</x:f>
        <x:v>0</x:v>
      </x:c>
      <x:c r="P11" s="166" t="n">
        <x:f>M11-N11-O11</x:f>
        <x:v>0</x:v>
      </x:c>
      <x:c r="Q11" s="166" t="n">
        <x:f>SUMIFS($H$5:$H$32,$B$5:$B$32,L11,$J$5:$J$32,"Jugado")+SUMIFS($I$5:$I$32,$C$5:$C$32,L11,$J$5:$J$32,"Jugado")</x:f>
        <x:v>0</x:v>
      </x:c>
      <x:c r="R11" s="166" t="n">
        <x:f>SUMIFS($I$5:$I$32,$B$5:$B$32,L11,$J$5:$J$32,"Jugado")+SUMIFS($H$5:$H$32,$C$5:$C$32,L11,$J$5:$J$32,"Jugado")</x:f>
        <x:v>0</x:v>
      </x:c>
      <x:c r="S11" s="166" t="n">
        <x:f>Q11-R11</x:f>
        <x:v>0</x:v>
      </x:c>
      <x:c r="T11" s="166" t="n">
        <x:f>N11*3+O11</x:f>
        <x:v>0</x:v>
      </x:c>
      <x:c r="U11" s="166" t="n">
        <x:f>1+SUMPRODUCT(($T$5:$T$11&gt;T11)+($T$5:$T$11=T11)*($S$5:$S$11&gt;S11))</x:f>
        <x:v>1</x:v>
      </x:c>
      <x:c r="V11" s="29" t="str">
        <x:f>IF(U11&lt;=3,"Oro",IF(U11=4,"Comparar 4.º","Plata"))</x:f>
        <x:v>Oro</x:v>
      </x:c>
    </x:row>
    <x:row r="12">
      <x:c r="A12" s="40" t="n">
        <x:v>2</x:v>
      </x:c>
      <x:c r="B12" s="64" t="str">
        <x:v>ACDM Horche Veteranos</x:v>
      </x:c>
      <x:c r="C12" s="64" t="str">
        <x:v>Sporting Cabanillas C.F.</x:v>
      </x:c>
      <x:c r="D12" s="64" t="str">
        <x:v>24–25 oct 2026</x:v>
      </x:c>
      <x:c r="E12" s="64" t="str">
        <x:v>7–8 nov 2026</x:v>
      </x:c>
      <x:c r="F12" s="64" t="str"/>
      <x:c r="G12" s="64" t="str"/>
      <x:c r="H12" s="64" t="str"/>
      <x:c r="I12" s="64" t="str"/>
      <x:c r="J12" s="41" t="str">
        <x:f>IF(C12="DESCANSA","Descanso",IF(AND(ISNUMBER(H12),ISNUMBER(I12)),"Jugado","Pendiente"))</x:f>
        <x:v>Pendiente</x:v>
      </x:c>
    </x:row>
    <x:row r="13">
      <x:c r="A13" s="40" t="n">
        <x:v>3</x:v>
      </x:c>
      <x:c r="B13" s="64" t="str">
        <x:v>Dinamo Guadalajara</x:v>
      </x:c>
      <x:c r="C13" s="64" t="str">
        <x:v>Cifuentes</x:v>
      </x:c>
      <x:c r="D13" s="64" t="str">
        <x:v>14–15 nov 2026</x:v>
      </x:c>
      <x:c r="E13" s="64" t="str">
        <x:v>—</x:v>
      </x:c>
      <x:c r="F13" s="64" t="str"/>
      <x:c r="G13" s="64" t="str"/>
      <x:c r="H13" s="64" t="str"/>
      <x:c r="I13" s="64" t="str"/>
      <x:c r="J13" s="41" t="str">
        <x:f>IF(C13="DESCANSA","Descanso",IF(AND(ISNUMBER(H13),ISNUMBER(I13)),"Jugado","Pendiente"))</x:f>
        <x:v>Pendiente</x:v>
      </x:c>
    </x:row>
    <x:row r="14">
      <x:c r="A14" s="40" t="n">
        <x:v>3</x:v>
      </x:c>
      <x:c r="B14" s="64" t="str">
        <x:v>Espinosa de Henares</x:v>
      </x:c>
      <x:c r="C14" s="64" t="str">
        <x:v>CD Azuqueca Veteranos</x:v>
      </x:c>
      <x:c r="D14" s="64" t="str">
        <x:v>14–15 nov 2026</x:v>
      </x:c>
      <x:c r="E14" s="64" t="str">
        <x:v>—</x:v>
      </x:c>
      <x:c r="F14" s="64" t="str"/>
      <x:c r="G14" s="64" t="str"/>
      <x:c r="H14" s="64" t="str"/>
      <x:c r="I14" s="64" t="str"/>
      <x:c r="J14" s="41" t="str">
        <x:f>IF(C14="DESCANSA","Descanso",IF(AND(ISNUMBER(H14),ISNUMBER(I14)),"Jugado","Pendiente"))</x:f>
        <x:v>Pendiente</x:v>
      </x:c>
    </x:row>
    <x:row r="15">
      <x:c r="A15" s="40" t="n">
        <x:v>3</x:v>
      </x:c>
      <x:c r="B15" s="64" t="str">
        <x:v>Sporting Cabanillas C.F.</x:v>
      </x:c>
      <x:c r="C15" s="64" t="str">
        <x:v>DESCANSA</x:v>
      </x:c>
      <x:c r="D15" s="64" t="str">
        <x:v>14–15 nov 2026</x:v>
      </x:c>
      <x:c r="E15" s="64" t="str">
        <x:v>—</x:v>
      </x:c>
      <x:c r="F15" s="64" t="str"/>
      <x:c r="G15" s="64" t="str"/>
      <x:c r="H15" s="64" t="str"/>
      <x:c r="I15" s="64" t="str"/>
      <x:c r="J15" s="41" t="str">
        <x:f>IF(C15="DESCANSA","Descanso",IF(AND(ISNUMBER(H15),ISNUMBER(I15)),"Jugado","Pendiente"))</x:f>
        <x:v>Descanso</x:v>
      </x:c>
    </x:row>
    <x:row r="16">
      <x:c r="A16" s="40" t="n">
        <x:v>3</x:v>
      </x:c>
      <x:c r="B16" s="64" t="str">
        <x:v>ACDM Horche Veteranos</x:v>
      </x:c>
      <x:c r="C16" s="64" t="str">
        <x:v>ED Ciudad Valdeluz VT</x:v>
      </x:c>
      <x:c r="D16" s="64" t="str">
        <x:v>14–15 nov 2026</x:v>
      </x:c>
      <x:c r="E16" s="64" t="str">
        <x:v>—</x:v>
      </x:c>
      <x:c r="F16" s="64" t="str"/>
      <x:c r="G16" s="64" t="str"/>
      <x:c r="H16" s="64" t="str"/>
      <x:c r="I16" s="64" t="str"/>
      <x:c r="J16" s="41" t="str">
        <x:f>IF(C16="DESCANSA","Descanso",IF(AND(ISNUMBER(H16),ISNUMBER(I16)),"Jugado","Pendiente"))</x:f>
        <x:v>Pendiente</x:v>
      </x:c>
    </x:row>
    <x:row r="17">
      <x:c r="A17" s="40" t="n">
        <x:v>4</x:v>
      </x:c>
      <x:c r="B17" s="64" t="str">
        <x:v>Espinosa de Henares</x:v>
      </x:c>
      <x:c r="C17" s="64" t="str">
        <x:v>Dinamo Guadalajara</x:v>
      </x:c>
      <x:c r="D17" s="64" t="str">
        <x:v>21–22 nov 2026</x:v>
      </x:c>
      <x:c r="E17" s="64" t="str">
        <x:v>28–29 nov 2026</x:v>
      </x:c>
      <x:c r="F17" s="64" t="str"/>
      <x:c r="G17" s="64" t="str"/>
      <x:c r="H17" s="64" t="str"/>
      <x:c r="I17" s="64" t="str"/>
      <x:c r="J17" s="41" t="str">
        <x:f>IF(C17="DESCANSA","Descanso",IF(AND(ISNUMBER(H17),ISNUMBER(I17)),"Jugado","Pendiente"))</x:f>
        <x:v>Pendiente</x:v>
      </x:c>
    </x:row>
    <x:row r="18">
      <x:c r="A18" s="40" t="n">
        <x:v>4</x:v>
      </x:c>
      <x:c r="B18" s="64" t="str">
        <x:v>Cifuentes</x:v>
      </x:c>
      <x:c r="C18" s="64" t="str">
        <x:v>Sporting Cabanillas C.F.</x:v>
      </x:c>
      <x:c r="D18" s="64" t="str">
        <x:v>21–22 nov 2026</x:v>
      </x:c>
      <x:c r="E18" s="64" t="str">
        <x:v>28–29 nov 2026</x:v>
      </x:c>
      <x:c r="F18" s="64" t="str"/>
      <x:c r="G18" s="64" t="str"/>
      <x:c r="H18" s="64" t="str"/>
      <x:c r="I18" s="64" t="str"/>
      <x:c r="J18" s="41" t="str">
        <x:f>IF(C18="DESCANSA","Descanso",IF(AND(ISNUMBER(H18),ISNUMBER(I18)),"Jugado","Pendiente"))</x:f>
        <x:v>Pendiente</x:v>
      </x:c>
    </x:row>
    <x:row r="19">
      <x:c r="A19" s="40" t="n">
        <x:v>4</x:v>
      </x:c>
      <x:c r="B19" s="64" t="str">
        <x:v>ACDM Horche Veteranos</x:v>
      </x:c>
      <x:c r="C19" s="64" t="str">
        <x:v>CD Azuqueca Veteranos</x:v>
      </x:c>
      <x:c r="D19" s="64" t="str">
        <x:v>21–22 nov 2026</x:v>
      </x:c>
      <x:c r="E19" s="64" t="str">
        <x:v>28–29 nov 2026</x:v>
      </x:c>
      <x:c r="F19" s="64" t="str"/>
      <x:c r="G19" s="64" t="str"/>
      <x:c r="H19" s="64" t="str"/>
      <x:c r="I19" s="64" t="str"/>
      <x:c r="J19" s="41" t="str">
        <x:f>IF(C19="DESCANSA","Descanso",IF(AND(ISNUMBER(H19),ISNUMBER(I19)),"Jugado","Pendiente"))</x:f>
        <x:v>Pendiente</x:v>
      </x:c>
    </x:row>
    <x:row r="20">
      <x:c r="A20" s="40" t="n">
        <x:v>4</x:v>
      </x:c>
      <x:c r="B20" s="64" t="str">
        <x:v>ED Ciudad Valdeluz VT</x:v>
      </x:c>
      <x:c r="C20" s="64" t="str">
        <x:v>DESCANSA</x:v>
      </x:c>
      <x:c r="D20" s="64" t="str">
        <x:v>21–22 nov 2026</x:v>
      </x:c>
      <x:c r="E20" s="64" t="str">
        <x:v>28–29 nov 2026</x:v>
      </x:c>
      <x:c r="F20" s="64" t="str"/>
      <x:c r="G20" s="64" t="str"/>
      <x:c r="H20" s="64" t="str"/>
      <x:c r="I20" s="64" t="str"/>
      <x:c r="J20" s="41" t="str">
        <x:f>IF(C20="DESCANSA","Descanso",IF(AND(ISNUMBER(H20),ISNUMBER(I20)),"Jugado","Pendiente"))</x:f>
        <x:v>Descanso</x:v>
      </x:c>
    </x:row>
    <x:row r="21">
      <x:c r="A21" s="40" t="n">
        <x:v>5</x:v>
      </x:c>
      <x:c r="B21" s="64" t="str">
        <x:v>Dinamo Guadalajara</x:v>
      </x:c>
      <x:c r="C21" s="64" t="str">
        <x:v>Sporting Cabanillas C.F.</x:v>
      </x:c>
      <x:c r="D21" s="64" t="str">
        <x:v>12–13 dic 2026</x:v>
      </x:c>
      <x:c r="E21" s="64" t="str">
        <x:v>19–20 dic 2026</x:v>
      </x:c>
      <x:c r="F21" s="64" t="str"/>
      <x:c r="G21" s="64" t="str"/>
      <x:c r="H21" s="64" t="str"/>
      <x:c r="I21" s="64" t="str"/>
      <x:c r="J21" s="41" t="str">
        <x:f>IF(C21="DESCANSA","Descanso",IF(AND(ISNUMBER(H21),ISNUMBER(I21)),"Jugado","Pendiente"))</x:f>
        <x:v>Pendiente</x:v>
      </x:c>
    </x:row>
    <x:row r="22">
      <x:c r="A22" s="40" t="n">
        <x:v>5</x:v>
      </x:c>
      <x:c r="B22" s="64" t="str">
        <x:v>ACDM Horche Veteranos</x:v>
      </x:c>
      <x:c r="C22" s="64" t="str">
        <x:v>Espinosa de Henares</x:v>
      </x:c>
      <x:c r="D22" s="64" t="str">
        <x:v>12–13 dic 2026</x:v>
      </x:c>
      <x:c r="E22" s="64" t="str">
        <x:v>19–20 dic 2026</x:v>
      </x:c>
      <x:c r="F22" s="64" t="str"/>
      <x:c r="G22" s="64" t="str"/>
      <x:c r="H22" s="64" t="str"/>
      <x:c r="I22" s="64" t="str"/>
      <x:c r="J22" s="41" t="str">
        <x:f>IF(C22="DESCANSA","Descanso",IF(AND(ISNUMBER(H22),ISNUMBER(I22)),"Jugado","Pendiente"))</x:f>
        <x:v>Pendiente</x:v>
      </x:c>
    </x:row>
    <x:row r="23">
      <x:c r="A23" s="40" t="n">
        <x:v>5</x:v>
      </x:c>
      <x:c r="B23" s="64" t="str">
        <x:v>Cifuentes</x:v>
      </x:c>
      <x:c r="C23" s="64" t="str">
        <x:v>ED Ciudad Valdeluz VT</x:v>
      </x:c>
      <x:c r="D23" s="64" t="str">
        <x:v>12–13 dic 2026</x:v>
      </x:c>
      <x:c r="E23" s="64" t="str">
        <x:v>19–20 dic 2026</x:v>
      </x:c>
      <x:c r="F23" s="64" t="str"/>
      <x:c r="G23" s="64" t="str"/>
      <x:c r="H23" s="64" t="str"/>
      <x:c r="I23" s="64" t="str"/>
      <x:c r="J23" s="41" t="str">
        <x:f>IF(C23="DESCANSA","Descanso",IF(AND(ISNUMBER(H23),ISNUMBER(I23)),"Jugado","Pendiente"))</x:f>
        <x:v>Pendiente</x:v>
      </x:c>
    </x:row>
    <x:row r="24">
      <x:c r="A24" s="40" t="n">
        <x:v>5</x:v>
      </x:c>
      <x:c r="B24" s="64" t="str">
        <x:v>CD Azuqueca Veteranos</x:v>
      </x:c>
      <x:c r="C24" s="64" t="str">
        <x:v>DESCANSA</x:v>
      </x:c>
      <x:c r="D24" s="64" t="str">
        <x:v>12–13 dic 2026</x:v>
      </x:c>
      <x:c r="E24" s="64" t="str">
        <x:v>19–20 dic 2026</x:v>
      </x:c>
      <x:c r="F24" s="64" t="str"/>
      <x:c r="G24" s="64" t="str"/>
      <x:c r="H24" s="64" t="str"/>
      <x:c r="I24" s="64" t="str"/>
      <x:c r="J24" s="41" t="str">
        <x:f>IF(C24="DESCANSA","Descanso",IF(AND(ISNUMBER(H24),ISNUMBER(I24)),"Jugado","Pendiente"))</x:f>
        <x:v>Descanso</x:v>
      </x:c>
    </x:row>
    <x:row r="25">
      <x:c r="A25" s="40" t="n">
        <x:v>6</x:v>
      </x:c>
      <x:c r="B25" s="64" t="str">
        <x:v>ACDM Horche Veteranos</x:v>
      </x:c>
      <x:c r="C25" s="64" t="str">
        <x:v>Dinamo Guadalajara</x:v>
      </x:c>
      <x:c r="D25" s="64" t="str">
        <x:v>9–10 ene 2027</x:v>
      </x:c>
      <x:c r="E25" s="64" t="str">
        <x:v>16–17 ene 2027</x:v>
      </x:c>
      <x:c r="F25" s="64" t="str"/>
      <x:c r="G25" s="64" t="str"/>
      <x:c r="H25" s="64" t="str"/>
      <x:c r="I25" s="64" t="str"/>
      <x:c r="J25" s="41" t="str">
        <x:f>IF(C25="DESCANSA","Descanso",IF(AND(ISNUMBER(H25),ISNUMBER(I25)),"Jugado","Pendiente"))</x:f>
        <x:v>Pendiente</x:v>
      </x:c>
    </x:row>
    <x:row r="26">
      <x:c r="A26" s="40" t="n">
        <x:v>6</x:v>
      </x:c>
      <x:c r="B26" s="64" t="str">
        <x:v>Sporting Cabanillas C.F.</x:v>
      </x:c>
      <x:c r="C26" s="64" t="str">
        <x:v>ED Ciudad Valdeluz VT</x:v>
      </x:c>
      <x:c r="D26" s="64" t="str">
        <x:v>9–10 ene 2027</x:v>
      </x:c>
      <x:c r="E26" s="64" t="str">
        <x:v>16–17 ene 2027</x:v>
      </x:c>
      <x:c r="F26" s="64" t="str"/>
      <x:c r="G26" s="64" t="str"/>
      <x:c r="H26" s="64" t="str"/>
      <x:c r="I26" s="64" t="str"/>
      <x:c r="J26" s="41" t="str">
        <x:f>IF(C26="DESCANSA","Descanso",IF(AND(ISNUMBER(H26),ISNUMBER(I26)),"Jugado","Pendiente"))</x:f>
        <x:v>Pendiente</x:v>
      </x:c>
    </x:row>
    <x:row r="27">
      <x:c r="A27" s="40" t="n">
        <x:v>6</x:v>
      </x:c>
      <x:c r="B27" s="64" t="str">
        <x:v>Espinosa de Henares</x:v>
      </x:c>
      <x:c r="C27" s="64" t="str">
        <x:v>DESCANSA</x:v>
      </x:c>
      <x:c r="D27" s="64" t="str">
        <x:v>9–10 ene 2027</x:v>
      </x:c>
      <x:c r="E27" s="64" t="str">
        <x:v>16–17 ene 2027</x:v>
      </x:c>
      <x:c r="F27" s="64" t="str"/>
      <x:c r="G27" s="64" t="str"/>
      <x:c r="H27" s="64" t="str"/>
      <x:c r="I27" s="64" t="str"/>
      <x:c r="J27" s="41" t="str">
        <x:f>IF(C27="DESCANSA","Descanso",IF(AND(ISNUMBER(H27),ISNUMBER(I27)),"Jugado","Pendiente"))</x:f>
        <x:v>Descanso</x:v>
      </x:c>
    </x:row>
    <x:row r="28">
      <x:c r="A28" s="40" t="n">
        <x:v>6</x:v>
      </x:c>
      <x:c r="B28" s="64" t="str">
        <x:v>Cifuentes</x:v>
      </x:c>
      <x:c r="C28" s="64" t="str">
        <x:v>CD Azuqueca Veteranos</x:v>
      </x:c>
      <x:c r="D28" s="64" t="str">
        <x:v>9–10 ene 2027</x:v>
      </x:c>
      <x:c r="E28" s="64" t="str">
        <x:v>16–17 ene 2027</x:v>
      </x:c>
      <x:c r="F28" s="64" t="str"/>
      <x:c r="G28" s="64" t="str"/>
      <x:c r="H28" s="64" t="str"/>
      <x:c r="I28" s="64" t="str"/>
      <x:c r="J28" s="41" t="str">
        <x:f>IF(C28="DESCANSA","Descanso",IF(AND(ISNUMBER(H28),ISNUMBER(I28)),"Jugado","Pendiente"))</x:f>
        <x:v>Pendiente</x:v>
      </x:c>
    </x:row>
    <x:row r="29">
      <x:c r="A29" s="40" t="n">
        <x:v>7</x:v>
      </x:c>
      <x:c r="B29" s="64" t="str">
        <x:v>Dinamo Guadalajara</x:v>
      </x:c>
      <x:c r="C29" s="64" t="str">
        <x:v>ED Ciudad Valdeluz VT</x:v>
      </x:c>
      <x:c r="D29" s="64" t="str">
        <x:v>23–24 ene 2027</x:v>
      </x:c>
      <x:c r="E29" s="64" t="str">
        <x:v>30–31 ene 2027</x:v>
      </x:c>
      <x:c r="F29" s="64" t="str"/>
      <x:c r="G29" s="64" t="str"/>
      <x:c r="H29" s="64" t="str"/>
      <x:c r="I29" s="64" t="str"/>
      <x:c r="J29" s="41" t="str">
        <x:f>IF(C29="DESCANSA","Descanso",IF(AND(ISNUMBER(H29),ISNUMBER(I29)),"Jugado","Pendiente"))</x:f>
        <x:v>Pendiente</x:v>
      </x:c>
    </x:row>
    <x:row r="30">
      <x:c r="A30" s="40" t="n">
        <x:v>7</x:v>
      </x:c>
      <x:c r="B30" s="64" t="str">
        <x:v>ACDM Horche Veteranos</x:v>
      </x:c>
      <x:c r="C30" s="64" t="str">
        <x:v>DESCANSA</x:v>
      </x:c>
      <x:c r="D30" s="64" t="str">
        <x:v>23–24 ene 2027</x:v>
      </x:c>
      <x:c r="E30" s="64" t="str">
        <x:v>30–31 ene 2027</x:v>
      </x:c>
      <x:c r="F30" s="64" t="str"/>
      <x:c r="G30" s="64" t="str"/>
      <x:c r="H30" s="64" t="str"/>
      <x:c r="I30" s="64" t="str"/>
      <x:c r="J30" s="41" t="str">
        <x:f>IF(C30="DESCANSA","Descanso",IF(AND(ISNUMBER(H30),ISNUMBER(I30)),"Jugado","Pendiente"))</x:f>
        <x:v>Descanso</x:v>
      </x:c>
    </x:row>
    <x:row r="31">
      <x:c r="A31" s="40" t="n">
        <x:v>7</x:v>
      </x:c>
      <x:c r="B31" s="64" t="str">
        <x:v>Sporting Cabanillas C.F.</x:v>
      </x:c>
      <x:c r="C31" s="64" t="str">
        <x:v>CD Azuqueca Veteranos</x:v>
      </x:c>
      <x:c r="D31" s="64" t="str">
        <x:v>23–24 ene 2027</x:v>
      </x:c>
      <x:c r="E31" s="64" t="str">
        <x:v>30–31 ene 2027</x:v>
      </x:c>
      <x:c r="F31" s="64" t="str"/>
      <x:c r="G31" s="64" t="str"/>
      <x:c r="H31" s="64" t="str"/>
      <x:c r="I31" s="64" t="str"/>
      <x:c r="J31" s="41" t="str">
        <x:f>IF(C31="DESCANSA","Descanso",IF(AND(ISNUMBER(H31),ISNUMBER(I31)),"Jugado","Pendiente"))</x:f>
        <x:v>Pendiente</x:v>
      </x:c>
    </x:row>
    <x:row r="32">
      <x:c r="A32" s="42" t="n">
        <x:v>7</x:v>
      </x:c>
      <x:c r="B32" s="75" t="str">
        <x:v>Cifuentes</x:v>
      </x:c>
      <x:c r="C32" s="75" t="str">
        <x:v>Espinosa de Henares</x:v>
      </x:c>
      <x:c r="D32" s="75" t="str">
        <x:v>23–24 ene 2027</x:v>
      </x:c>
      <x:c r="E32" s="75" t="str">
        <x:v>30–31 ene 2027</x:v>
      </x:c>
      <x:c r="F32" s="75" t="str"/>
      <x:c r="G32" s="75" t="str"/>
      <x:c r="H32" s="75" t="str"/>
      <x:c r="I32" s="75" t="str"/>
      <x:c r="J32" s="43" t="str">
        <x:f>IF(C32="DESCANSA","Descanso",IF(AND(ISNUMBER(H32),ISNUMBER(I32)),"Jugado","Pendiente"))</x:f>
        <x:v>Pendiente</x:v>
      </x:c>
    </x:row>
  </x:sheetData>
  <x:mergeCells>
    <x:mergeCell ref="A1:J2"/>
    <x:mergeCell ref="L1:V2"/>
  </x:mergeCells>
  <x:conditionalFormatting sqref="V5:V11">
    <x:cfRule type="expression" dxfId="0" priority="1">
      <x:formula>V5="Oro"</x:formula>
    </x:cfRule>
    <x:cfRule type="expression" dxfId="1" priority="2">
      <x:formula>V5="Plata"</x:formula>
    </x:cfRule>
    <x:cfRule type="expression" dxfId="2" priority="3">
      <x:formula>V5="Comparar 4.º"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19" hidden="0" customWidth="1"/>
    <x:col min="5" max="5" width="19" hidden="0" customWidth="1"/>
    <x:col min="6" max="6" width="16" hidden="0" customWidth="1"/>
    <x:col min="7" max="7" width="10" hidden="0" customWidth="1"/>
    <x:col min="8" max="8" width="9" hidden="0" customWidth="1"/>
    <x:col min="9" max="9" width="9" hidden="0" customWidth="1"/>
    <x:col min="10" max="10" width="13" hidden="0" customWidth="1"/>
    <x:col min="12" max="12" width="2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18" hidden="0" customWidth="1"/>
  </x:cols>
  <x:sheetData>
    <x:row r="1">
      <x:c r="A1" s="5" t="str">
        <x:v>1.ª FASE · GRUPO MADRID</x:v>
      </x:c>
      <x:c r="B1" s="5"/>
      <x:c r="C1" s="5"/>
      <x:c r="D1" s="5"/>
      <x:c r="E1" s="5"/>
      <x:c r="F1" s="5"/>
      <x:c r="G1" s="5"/>
      <x:c r="H1" s="5"/>
      <x:c r="I1" s="5"/>
      <x:c r="J1" s="5"/>
      <x:c r="L1" s="5" t="str">
        <x:v>CLASIFICACIÓN</x:v>
      </x:c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>
      <x:c r="A4" s="14" t="str">
        <x:v>Jornada</x:v>
      </x:c>
      <x:c r="B4" s="14" t="str">
        <x:v>Local</x:v>
      </x:c>
      <x:c r="C4" s="14" t="str">
        <x:v>Visitante</x:v>
      </x:c>
      <x:c r="D4" s="14" t="str">
        <x:v>Ventana 1</x:v>
      </x:c>
      <x:c r="E4" s="14" t="str">
        <x:v>Ventana 2</x:v>
      </x:c>
      <x:c r="F4" s="14" t="str">
        <x:v>Fecha acordada</x:v>
      </x:c>
      <x:c r="G4" s="14" t="str">
        <x:v>Hora</x:v>
      </x:c>
      <x:c r="H4" s="14" t="str">
        <x:v>Goles L</x:v>
      </x:c>
      <x:c r="I4" s="14" t="str">
        <x:v>Goles V</x:v>
      </x:c>
      <x:c r="J4" s="14" t="str">
        <x:v>Estado</x:v>
      </x:c>
      <x:c r="L4" s="14" t="str">
        <x:v>Equipo</x:v>
      </x:c>
      <x:c r="M4" s="14" t="str">
        <x:v>PJ</x:v>
      </x:c>
      <x:c r="N4" s="14" t="str">
        <x:v>PG</x:v>
      </x:c>
      <x:c r="O4" s="14" t="str">
        <x:v>PE</x:v>
      </x:c>
      <x:c r="P4" s="14" t="str">
        <x:v>PP</x:v>
      </x:c>
      <x:c r="Q4" s="14" t="str">
        <x:v>GF</x:v>
      </x:c>
      <x:c r="R4" s="14" t="str">
        <x:v>GC</x:v>
      </x:c>
      <x:c r="S4" s="14" t="str">
        <x:v>DG</x:v>
      </x:c>
      <x:c r="T4" s="14" t="str">
        <x:v>Pts</x:v>
      </x:c>
      <x:c r="U4" s="14" t="str">
        <x:v>Pos.</x:v>
      </x:c>
      <x:c r="V4" s="14" t="str">
        <x:v>Destino</x:v>
      </x:c>
    </x:row>
    <x:row r="5">
      <x:c r="A5" s="90" t="n">
        <x:v>1</x:v>
      </x:c>
      <x:c r="B5" s="70" t="str">
        <x:v>San Gabriel Veteranos</x:v>
      </x:c>
      <x:c r="C5" s="70" t="str">
        <x:v>DESCANSA</x:v>
      </x:c>
      <x:c r="D5" s="70" t="str">
        <x:v>3–4 oct 2026</x:v>
      </x:c>
      <x:c r="E5" s="70" t="str">
        <x:v>17–18 oct 2026</x:v>
      </x:c>
      <x:c r="F5" s="70" t="str"/>
      <x:c r="G5" s="70" t="str"/>
      <x:c r="H5" s="70" t="str"/>
      <x:c r="I5" s="70" t="str"/>
      <x:c r="J5" s="71" t="str">
        <x:f>IF(C5="DESCANSA","Descanso",IF(AND(ISNUMBER(H5),ISNUMBER(I5)),"Jugado","Pendiente"))</x:f>
        <x:v>Descanso</x:v>
      </x:c>
      <x:c r="L5" s="162" t="str">
        <x:v>San Gabriel Veteranos</x:v>
      </x:c>
      <x:c r="M5" s="163" t="n">
        <x:f>COUNTIFS($B$5:$B$32,L5,$J$5:$J$32,"Jugado")+COUNTIFS($C$5:$C$32,L5,$J$5:$J$32,"Jugado")</x:f>
        <x:v>0</x:v>
      </x:c>
      <x:c r="N5" s="163" t="n">
        <x:f>SUMPRODUCT(($B$5:$B$32=L5)*($J$5:$J$32="Jugado")*($H$5:$H$32&gt;$I$5:$I$32))+SUMPRODUCT(($C$5:$C$32=L5)*($J$5:$J$32="Jugado")*($I$5:$I$32&gt;$H$5:$H$32))</x:f>
        <x:v>0</x:v>
      </x:c>
      <x:c r="O5" s="163" t="n">
        <x:f>SUMPRODUCT(($J$5:$J$32="Jugado")*(($B$5:$B$32=L5)+($C$5:$C$32=L5))*($H$5:$H$32=$I$5:$I$32))</x:f>
        <x:v>0</x:v>
      </x:c>
      <x:c r="P5" s="163" t="n">
        <x:f>M5-N5-O5</x:f>
        <x:v>0</x:v>
      </x:c>
      <x:c r="Q5" s="163" t="n">
        <x:f>SUMIFS($H$5:$H$32,$B$5:$B$32,L5,$J$5:$J$32,"Jugado")+SUMIFS($I$5:$I$32,$C$5:$C$32,L5,$J$5:$J$32,"Jugado")</x:f>
        <x:v>0</x:v>
      </x:c>
      <x:c r="R5" s="163" t="n">
        <x:f>SUMIFS($I$5:$I$32,$B$5:$B$32,L5,$J$5:$J$32,"Jugado")+SUMIFS($H$5:$H$32,$C$5:$C$32,L5,$J$5:$J$32,"Jugado")</x:f>
        <x:v>0</x:v>
      </x:c>
      <x:c r="S5" s="163" t="n">
        <x:f>Q5-R5</x:f>
        <x:v>0</x:v>
      </x:c>
      <x:c r="T5" s="163" t="n">
        <x:f>N5*3+O5</x:f>
        <x:v>0</x:v>
      </x:c>
      <x:c r="U5" s="163" t="n">
        <x:f>1+SUMPRODUCT(($T$5:$T$11&gt;T5)+($T$5:$T$11=T5)*($S$5:$S$11&gt;S5))</x:f>
        <x:v>1</x:v>
      </x:c>
      <x:c r="V5" s="164" t="str">
        <x:f>IF(U5&lt;=3,"Oro",IF(U5=4,"Comparar 4.º","Plata"))</x:f>
        <x:v>Oro</x:v>
      </x:c>
    </x:row>
    <x:row r="6">
      <x:c r="A6" s="40" t="n">
        <x:v>1</x:v>
      </x:c>
      <x:c r="B6" s="64" t="str">
        <x:v>Depor Guadalajara</x:v>
      </x:c>
      <x:c r="C6" s="64" t="str">
        <x:v>AD Alcobendas Veteranos</x:v>
      </x:c>
      <x:c r="D6" s="64" t="str">
        <x:v>3–4 oct 2026</x:v>
      </x:c>
      <x:c r="E6" s="64" t="str">
        <x:v>17–18 oct 2026</x:v>
      </x:c>
      <x:c r="F6" s="64" t="str"/>
      <x:c r="G6" s="64" t="str"/>
      <x:c r="H6" s="64" t="str"/>
      <x:c r="I6" s="64" t="str"/>
      <x:c r="J6" s="41" t="str">
        <x:f>IF(C6="DESCANSA","Descanso",IF(AND(ISNUMBER(H6),ISNUMBER(I6)),"Jugado","Pendiente"))</x:f>
        <x:v>Pendiente</x:v>
      </x:c>
      <x:c r="L6" s="36" t="str">
        <x:v>AD Alcobendas Veteranos</x:v>
      </x:c>
      <x:c r="M6" s="165" t="n">
        <x:f>COUNTIFS($B$5:$B$32,L6,$J$5:$J$32,"Jugado")+COUNTIFS($C$5:$C$32,L6,$J$5:$J$32,"Jugado")</x:f>
        <x:v>0</x:v>
      </x:c>
      <x:c r="N6" s="165" t="n">
        <x:f>SUMPRODUCT(($B$5:$B$32=L6)*($J$5:$J$32="Jugado")*($H$5:$H$32&gt;$I$5:$I$32))+SUMPRODUCT(($C$5:$C$32=L6)*($J$5:$J$32="Jugado")*($I$5:$I$32&gt;$H$5:$H$32))</x:f>
        <x:v>0</x:v>
      </x:c>
      <x:c r="O6" s="165" t="n">
        <x:f>SUMPRODUCT(($J$5:$J$32="Jugado")*(($B$5:$B$32=L6)+($C$5:$C$32=L6))*($H$5:$H$32=$I$5:$I$32))</x:f>
        <x:v>0</x:v>
      </x:c>
      <x:c r="P6" s="165" t="n">
        <x:f>M6-N6-O6</x:f>
        <x:v>0</x:v>
      </x:c>
      <x:c r="Q6" s="165" t="n">
        <x:f>SUMIFS($H$5:$H$32,$B$5:$B$32,L6,$J$5:$J$32,"Jugado")+SUMIFS($I$5:$I$32,$C$5:$C$32,L6,$J$5:$J$32,"Jugado")</x:f>
        <x:v>0</x:v>
      </x:c>
      <x:c r="R6" s="165" t="n">
        <x:f>SUMIFS($I$5:$I$32,$B$5:$B$32,L6,$J$5:$J$32,"Jugado")+SUMIFS($H$5:$H$32,$C$5:$C$32,L6,$J$5:$J$32,"Jugado")</x:f>
        <x:v>0</x:v>
      </x:c>
      <x:c r="S6" s="165" t="n">
        <x:f>Q6-R6</x:f>
        <x:v>0</x:v>
      </x:c>
      <x:c r="T6" s="165" t="n">
        <x:f>N6*3+O6</x:f>
        <x:v>0</x:v>
      </x:c>
      <x:c r="U6" s="165" t="n">
        <x:f>1+SUMPRODUCT(($T$5:$T$11&gt;T6)+($T$5:$T$11=T6)*($S$5:$S$11&gt;S6))</x:f>
        <x:v>1</x:v>
      </x:c>
      <x:c r="V6" s="27" t="str">
        <x:f>IF(U6&lt;=3,"Oro",IF(U6=4,"Comparar 4.º","Plata"))</x:f>
        <x:v>Oro</x:v>
      </x:c>
    </x:row>
    <x:row r="7">
      <x:c r="A7" s="40" t="n">
        <x:v>1</x:v>
      </x:c>
      <x:c r="B7" s="64" t="str">
        <x:v>CDE Veteranos Ajalvir</x:v>
      </x:c>
      <x:c r="C7" s="64" t="str">
        <x:v>Rayo Alcalá</x:v>
      </x:c>
      <x:c r="D7" s="64" t="str">
        <x:v>3–4 oct 2026</x:v>
      </x:c>
      <x:c r="E7" s="64" t="str">
        <x:v>17–18 oct 2026</x:v>
      </x:c>
      <x:c r="F7" s="64" t="str"/>
      <x:c r="G7" s="64" t="str"/>
      <x:c r="H7" s="64" t="str"/>
      <x:c r="I7" s="64" t="str"/>
      <x:c r="J7" s="41" t="str">
        <x:f>IF(C7="DESCANSA","Descanso",IF(AND(ISNUMBER(H7),ISNUMBER(I7)),"Jugado","Pendiente"))</x:f>
        <x:v>Pendiente</x:v>
      </x:c>
      <x:c r="L7" s="36" t="str">
        <x:v>CDE Veteranos Ajalvir</x:v>
      </x:c>
      <x:c r="M7" s="165" t="n">
        <x:f>COUNTIFS($B$5:$B$32,L7,$J$5:$J$32,"Jugado")+COUNTIFS($C$5:$C$32,L7,$J$5:$J$32,"Jugado")</x:f>
        <x:v>0</x:v>
      </x:c>
      <x:c r="N7" s="165" t="n">
        <x:f>SUMPRODUCT(($B$5:$B$32=L7)*($J$5:$J$32="Jugado")*($H$5:$H$32&gt;$I$5:$I$32))+SUMPRODUCT(($C$5:$C$32=L7)*($J$5:$J$32="Jugado")*($I$5:$I$32&gt;$H$5:$H$32))</x:f>
        <x:v>0</x:v>
      </x:c>
      <x:c r="O7" s="165" t="n">
        <x:f>SUMPRODUCT(($J$5:$J$32="Jugado")*(($B$5:$B$32=L7)+($C$5:$C$32=L7))*($H$5:$H$32=$I$5:$I$32))</x:f>
        <x:v>0</x:v>
      </x:c>
      <x:c r="P7" s="165" t="n">
        <x:f>M7-N7-O7</x:f>
        <x:v>0</x:v>
      </x:c>
      <x:c r="Q7" s="165" t="n">
        <x:f>SUMIFS($H$5:$H$32,$B$5:$B$32,L7,$J$5:$J$32,"Jugado")+SUMIFS($I$5:$I$32,$C$5:$C$32,L7,$J$5:$J$32,"Jugado")</x:f>
        <x:v>0</x:v>
      </x:c>
      <x:c r="R7" s="165" t="n">
        <x:f>SUMIFS($I$5:$I$32,$B$5:$B$32,L7,$J$5:$J$32,"Jugado")+SUMIFS($H$5:$H$32,$C$5:$C$32,L7,$J$5:$J$32,"Jugado")</x:f>
        <x:v>0</x:v>
      </x:c>
      <x:c r="S7" s="165" t="n">
        <x:f>Q7-R7</x:f>
        <x:v>0</x:v>
      </x:c>
      <x:c r="T7" s="165" t="n">
        <x:f>N7*3+O7</x:f>
        <x:v>0</x:v>
      </x:c>
      <x:c r="U7" s="165" t="n">
        <x:f>1+SUMPRODUCT(($T$5:$T$11&gt;T7)+($T$5:$T$11=T7)*($S$5:$S$11&gt;S7))</x:f>
        <x:v>1</x:v>
      </x:c>
      <x:c r="V7" s="27" t="str">
        <x:f>IF(U7&lt;=3,"Oro",IF(U7=4,"Comparar 4.º","Plata"))</x:f>
        <x:v>Oro</x:v>
      </x:c>
    </x:row>
    <x:row r="8">
      <x:c r="A8" s="40" t="n">
        <x:v>1</x:v>
      </x:c>
      <x:c r="B8" s="64" t="str">
        <x:v>AD Naya Veteranos</x:v>
      </x:c>
      <x:c r="C8" s="64" t="str">
        <x:v>Paracuellos Veteranos</x:v>
      </x:c>
      <x:c r="D8" s="64" t="str">
        <x:v>3–4 oct 2026</x:v>
      </x:c>
      <x:c r="E8" s="64" t="str">
        <x:v>17–18 oct 2026</x:v>
      </x:c>
      <x:c r="F8" s="64" t="str"/>
      <x:c r="G8" s="64" t="str"/>
      <x:c r="H8" s="64" t="str"/>
      <x:c r="I8" s="64" t="str"/>
      <x:c r="J8" s="41" t="str">
        <x:f>IF(C8="DESCANSA","Descanso",IF(AND(ISNUMBER(H8),ISNUMBER(I8)),"Jugado","Pendiente"))</x:f>
        <x:v>Pendiente</x:v>
      </x:c>
      <x:c r="L8" s="36" t="str">
        <x:v>Paracuellos Veteranos</x:v>
      </x:c>
      <x:c r="M8" s="165" t="n">
        <x:f>COUNTIFS($B$5:$B$32,L8,$J$5:$J$32,"Jugado")+COUNTIFS($C$5:$C$32,L8,$J$5:$J$32,"Jugado")</x:f>
        <x:v>0</x:v>
      </x:c>
      <x:c r="N8" s="165" t="n">
        <x:f>SUMPRODUCT(($B$5:$B$32=L8)*($J$5:$J$32="Jugado")*($H$5:$H$32&gt;$I$5:$I$32))+SUMPRODUCT(($C$5:$C$32=L8)*($J$5:$J$32="Jugado")*($I$5:$I$32&gt;$H$5:$H$32))</x:f>
        <x:v>0</x:v>
      </x:c>
      <x:c r="O8" s="165" t="n">
        <x:f>SUMPRODUCT(($J$5:$J$32="Jugado")*(($B$5:$B$32=L8)+($C$5:$C$32=L8))*($H$5:$H$32=$I$5:$I$32))</x:f>
        <x:v>0</x:v>
      </x:c>
      <x:c r="P8" s="165" t="n">
        <x:f>M8-N8-O8</x:f>
        <x:v>0</x:v>
      </x:c>
      <x:c r="Q8" s="165" t="n">
        <x:f>SUMIFS($H$5:$H$32,$B$5:$B$32,L8,$J$5:$J$32,"Jugado")+SUMIFS($I$5:$I$32,$C$5:$C$32,L8,$J$5:$J$32,"Jugado")</x:f>
        <x:v>0</x:v>
      </x:c>
      <x:c r="R8" s="165" t="n">
        <x:f>SUMIFS($I$5:$I$32,$B$5:$B$32,L8,$J$5:$J$32,"Jugado")+SUMIFS($H$5:$H$32,$C$5:$C$32,L8,$J$5:$J$32,"Jugado")</x:f>
        <x:v>0</x:v>
      </x:c>
      <x:c r="S8" s="165" t="n">
        <x:f>Q8-R8</x:f>
        <x:v>0</x:v>
      </x:c>
      <x:c r="T8" s="165" t="n">
        <x:f>N8*3+O8</x:f>
        <x:v>0</x:v>
      </x:c>
      <x:c r="U8" s="165" t="n">
        <x:f>1+SUMPRODUCT(($T$5:$T$11&gt;T8)+($T$5:$T$11=T8)*($S$5:$S$11&gt;S8))</x:f>
        <x:v>1</x:v>
      </x:c>
      <x:c r="V8" s="27" t="str">
        <x:f>IF(U8&lt;=3,"Oro",IF(U8=4,"Comparar 4.º","Plata"))</x:f>
        <x:v>Oro</x:v>
      </x:c>
    </x:row>
    <x:row r="9">
      <x:c r="A9" s="40" t="n">
        <x:v>2</x:v>
      </x:c>
      <x:c r="B9" s="64" t="str">
        <x:v>Depor Guadalajara</x:v>
      </x:c>
      <x:c r="C9" s="64" t="str">
        <x:v>San Gabriel Veteranos</x:v>
      </x:c>
      <x:c r="D9" s="64" t="str">
        <x:v>24–25 oct 2026</x:v>
      </x:c>
      <x:c r="E9" s="64" t="str">
        <x:v>7–8 nov 2026</x:v>
      </x:c>
      <x:c r="F9" s="64" t="str"/>
      <x:c r="G9" s="64" t="str"/>
      <x:c r="H9" s="64" t="str"/>
      <x:c r="I9" s="64" t="str"/>
      <x:c r="J9" s="41" t="str">
        <x:f>IF(C9="DESCANSA","Descanso",IF(AND(ISNUMBER(H9),ISNUMBER(I9)),"Jugado","Pendiente"))</x:f>
        <x:v>Pendiente</x:v>
      </x:c>
      <x:c r="L9" s="36" t="str">
        <x:v>AD Naya Veteranos</x:v>
      </x:c>
      <x:c r="M9" s="165" t="n">
        <x:f>COUNTIFS($B$5:$B$32,L9,$J$5:$J$32,"Jugado")+COUNTIFS($C$5:$C$32,L9,$J$5:$J$32,"Jugado")</x:f>
        <x:v>0</x:v>
      </x:c>
      <x:c r="N9" s="165" t="n">
        <x:f>SUMPRODUCT(($B$5:$B$32=L9)*($J$5:$J$32="Jugado")*($H$5:$H$32&gt;$I$5:$I$32))+SUMPRODUCT(($C$5:$C$32=L9)*($J$5:$J$32="Jugado")*($I$5:$I$32&gt;$H$5:$H$32))</x:f>
        <x:v>0</x:v>
      </x:c>
      <x:c r="O9" s="165" t="n">
        <x:f>SUMPRODUCT(($J$5:$J$32="Jugado")*(($B$5:$B$32=L9)+($C$5:$C$32=L9))*($H$5:$H$32=$I$5:$I$32))</x:f>
        <x:v>0</x:v>
      </x:c>
      <x:c r="P9" s="165" t="n">
        <x:f>M9-N9-O9</x:f>
        <x:v>0</x:v>
      </x:c>
      <x:c r="Q9" s="165" t="n">
        <x:f>SUMIFS($H$5:$H$32,$B$5:$B$32,L9,$J$5:$J$32,"Jugado")+SUMIFS($I$5:$I$32,$C$5:$C$32,L9,$J$5:$J$32,"Jugado")</x:f>
        <x:v>0</x:v>
      </x:c>
      <x:c r="R9" s="165" t="n">
        <x:f>SUMIFS($I$5:$I$32,$B$5:$B$32,L9,$J$5:$J$32,"Jugado")+SUMIFS($H$5:$H$32,$C$5:$C$32,L9,$J$5:$J$32,"Jugado")</x:f>
        <x:v>0</x:v>
      </x:c>
      <x:c r="S9" s="165" t="n">
        <x:f>Q9-R9</x:f>
        <x:v>0</x:v>
      </x:c>
      <x:c r="T9" s="165" t="n">
        <x:f>N9*3+O9</x:f>
        <x:v>0</x:v>
      </x:c>
      <x:c r="U9" s="165" t="n">
        <x:f>1+SUMPRODUCT(($T$5:$T$11&gt;T9)+($T$5:$T$11=T9)*($S$5:$S$11&gt;S9))</x:f>
        <x:v>1</x:v>
      </x:c>
      <x:c r="V9" s="27" t="str">
        <x:f>IF(U9&lt;=3,"Oro",IF(U9=4,"Comparar 4.º","Plata"))</x:f>
        <x:v>Oro</x:v>
      </x:c>
    </x:row>
    <x:row r="10">
      <x:c r="A10" s="40" t="n">
        <x:v>2</x:v>
      </x:c>
      <x:c r="B10" s="64" t="str">
        <x:v>Rayo Alcalá</x:v>
      </x:c>
      <x:c r="C10" s="64" t="str">
        <x:v>DESCANSA</x:v>
      </x:c>
      <x:c r="D10" s="64" t="str">
        <x:v>24–25 oct 2026</x:v>
      </x:c>
      <x:c r="E10" s="64" t="str">
        <x:v>7–8 nov 2026</x:v>
      </x:c>
      <x:c r="F10" s="64" t="str"/>
      <x:c r="G10" s="64" t="str"/>
      <x:c r="H10" s="64" t="str"/>
      <x:c r="I10" s="64" t="str"/>
      <x:c r="J10" s="41" t="str">
        <x:f>IF(C10="DESCANSA","Descanso",IF(AND(ISNUMBER(H10),ISNUMBER(I10)),"Jugado","Pendiente"))</x:f>
        <x:v>Descanso</x:v>
      </x:c>
      <x:c r="L10" s="36" t="str">
        <x:v>Rayo Alcalá</x:v>
      </x:c>
      <x:c r="M10" s="165" t="n">
        <x:f>COUNTIFS($B$5:$B$32,L10,$J$5:$J$32,"Jugado")+COUNTIFS($C$5:$C$32,L10,$J$5:$J$32,"Jugado")</x:f>
        <x:v>0</x:v>
      </x:c>
      <x:c r="N10" s="165" t="n">
        <x:f>SUMPRODUCT(($B$5:$B$32=L10)*($J$5:$J$32="Jugado")*($H$5:$H$32&gt;$I$5:$I$32))+SUMPRODUCT(($C$5:$C$32=L10)*($J$5:$J$32="Jugado")*($I$5:$I$32&gt;$H$5:$H$32))</x:f>
        <x:v>0</x:v>
      </x:c>
      <x:c r="O10" s="165" t="n">
        <x:f>SUMPRODUCT(($J$5:$J$32="Jugado")*(($B$5:$B$32=L10)+($C$5:$C$32=L10))*($H$5:$H$32=$I$5:$I$32))</x:f>
        <x:v>0</x:v>
      </x:c>
      <x:c r="P10" s="165" t="n">
        <x:f>M10-N10-O10</x:f>
        <x:v>0</x:v>
      </x:c>
      <x:c r="Q10" s="165" t="n">
        <x:f>SUMIFS($H$5:$H$32,$B$5:$B$32,L10,$J$5:$J$32,"Jugado")+SUMIFS($I$5:$I$32,$C$5:$C$32,L10,$J$5:$J$32,"Jugado")</x:f>
        <x:v>0</x:v>
      </x:c>
      <x:c r="R10" s="165" t="n">
        <x:f>SUMIFS($I$5:$I$32,$B$5:$B$32,L10,$J$5:$J$32,"Jugado")+SUMIFS($H$5:$H$32,$C$5:$C$32,L10,$J$5:$J$32,"Jugado")</x:f>
        <x:v>0</x:v>
      </x:c>
      <x:c r="S10" s="165" t="n">
        <x:f>Q10-R10</x:f>
        <x:v>0</x:v>
      </x:c>
      <x:c r="T10" s="165" t="n">
        <x:f>N10*3+O10</x:f>
        <x:v>0</x:v>
      </x:c>
      <x:c r="U10" s="165" t="n">
        <x:f>1+SUMPRODUCT(($T$5:$T$11&gt;T10)+($T$5:$T$11=T10)*($S$5:$S$11&gt;S10))</x:f>
        <x:v>1</x:v>
      </x:c>
      <x:c r="V10" s="27" t="str">
        <x:f>IF(U10&lt;=3,"Oro",IF(U10=4,"Comparar 4.º","Plata"))</x:f>
        <x:v>Oro</x:v>
      </x:c>
    </x:row>
    <x:row r="11">
      <x:c r="A11" s="40" t="n">
        <x:v>2</x:v>
      </x:c>
      <x:c r="B11" s="64" t="str">
        <x:v>AD Naya Veteranos</x:v>
      </x:c>
      <x:c r="C11" s="64" t="str">
        <x:v>AD Alcobendas Veteranos</x:v>
      </x:c>
      <x:c r="D11" s="64" t="str">
        <x:v>24–25 oct 2026</x:v>
      </x:c>
      <x:c r="E11" s="64" t="str">
        <x:v>7–8 nov 2026</x:v>
      </x:c>
      <x:c r="F11" s="64" t="str"/>
      <x:c r="G11" s="64" t="str"/>
      <x:c r="H11" s="64" t="str"/>
      <x:c r="I11" s="64" t="str"/>
      <x:c r="J11" s="41" t="str">
        <x:f>IF(C11="DESCANSA","Descanso",IF(AND(ISNUMBER(H11),ISNUMBER(I11)),"Jugado","Pendiente"))</x:f>
        <x:v>Pendiente</x:v>
      </x:c>
      <x:c r="L11" s="37" t="str">
        <x:v>Depor Guadalajara</x:v>
      </x:c>
      <x:c r="M11" s="166" t="n">
        <x:f>COUNTIFS($B$5:$B$32,L11,$J$5:$J$32,"Jugado")+COUNTIFS($C$5:$C$32,L11,$J$5:$J$32,"Jugado")</x:f>
        <x:v>0</x:v>
      </x:c>
      <x:c r="N11" s="166" t="n">
        <x:f>SUMPRODUCT(($B$5:$B$32=L11)*($J$5:$J$32="Jugado")*($H$5:$H$32&gt;$I$5:$I$32))+SUMPRODUCT(($C$5:$C$32=L11)*($J$5:$J$32="Jugado")*($I$5:$I$32&gt;$H$5:$H$32))</x:f>
        <x:v>0</x:v>
      </x:c>
      <x:c r="O11" s="166" t="n">
        <x:f>SUMPRODUCT(($J$5:$J$32="Jugado")*(($B$5:$B$32=L11)+($C$5:$C$32=L11))*($H$5:$H$32=$I$5:$I$32))</x:f>
        <x:v>0</x:v>
      </x:c>
      <x:c r="P11" s="166" t="n">
        <x:f>M11-N11-O11</x:f>
        <x:v>0</x:v>
      </x:c>
      <x:c r="Q11" s="166" t="n">
        <x:f>SUMIFS($H$5:$H$32,$B$5:$B$32,L11,$J$5:$J$32,"Jugado")+SUMIFS($I$5:$I$32,$C$5:$C$32,L11,$J$5:$J$32,"Jugado")</x:f>
        <x:v>0</x:v>
      </x:c>
      <x:c r="R11" s="166" t="n">
        <x:f>SUMIFS($I$5:$I$32,$B$5:$B$32,L11,$J$5:$J$32,"Jugado")+SUMIFS($H$5:$H$32,$C$5:$C$32,L11,$J$5:$J$32,"Jugado")</x:f>
        <x:v>0</x:v>
      </x:c>
      <x:c r="S11" s="166" t="n">
        <x:f>Q11-R11</x:f>
        <x:v>0</x:v>
      </x:c>
      <x:c r="T11" s="166" t="n">
        <x:f>N11*3+O11</x:f>
        <x:v>0</x:v>
      </x:c>
      <x:c r="U11" s="166" t="n">
        <x:f>1+SUMPRODUCT(($T$5:$T$11&gt;T11)+($T$5:$T$11=T11)*($S$5:$S$11&gt;S11))</x:f>
        <x:v>1</x:v>
      </x:c>
      <x:c r="V11" s="29" t="str">
        <x:f>IF(U11&lt;=3,"Oro",IF(U11=4,"Comparar 4.º","Plata"))</x:f>
        <x:v>Oro</x:v>
      </x:c>
    </x:row>
    <x:row r="12">
      <x:c r="A12" s="40" t="n">
        <x:v>2</x:v>
      </x:c>
      <x:c r="B12" s="64" t="str">
        <x:v>CDE Veteranos Ajalvir</x:v>
      </x:c>
      <x:c r="C12" s="64" t="str">
        <x:v>Paracuellos Veteranos</x:v>
      </x:c>
      <x:c r="D12" s="64" t="str">
        <x:v>24–25 oct 2026</x:v>
      </x:c>
      <x:c r="E12" s="64" t="str">
        <x:v>7–8 nov 2026</x:v>
      </x:c>
      <x:c r="F12" s="64" t="str"/>
      <x:c r="G12" s="64" t="str"/>
      <x:c r="H12" s="64" t="str"/>
      <x:c r="I12" s="64" t="str"/>
      <x:c r="J12" s="41" t="str">
        <x:f>IF(C12="DESCANSA","Descanso",IF(AND(ISNUMBER(H12),ISNUMBER(I12)),"Jugado","Pendiente"))</x:f>
        <x:v>Pendiente</x:v>
      </x:c>
    </x:row>
    <x:row r="13">
      <x:c r="A13" s="40" t="n">
        <x:v>3</x:v>
      </x:c>
      <x:c r="B13" s="64" t="str">
        <x:v>San Gabriel Veteranos</x:v>
      </x:c>
      <x:c r="C13" s="64" t="str">
        <x:v>Rayo Alcalá</x:v>
      </x:c>
      <x:c r="D13" s="64" t="str">
        <x:v>14–15 nov 2026</x:v>
      </x:c>
      <x:c r="E13" s="64" t="str">
        <x:v>—</x:v>
      </x:c>
      <x:c r="F13" s="64" t="str"/>
      <x:c r="G13" s="64" t="str"/>
      <x:c r="H13" s="64" t="str"/>
      <x:c r="I13" s="64" t="str"/>
      <x:c r="J13" s="41" t="str">
        <x:f>IF(C13="DESCANSA","Descanso",IF(AND(ISNUMBER(H13),ISNUMBER(I13)),"Jugado","Pendiente"))</x:f>
        <x:v>Pendiente</x:v>
      </x:c>
    </x:row>
    <x:row r="14">
      <x:c r="A14" s="40" t="n">
        <x:v>3</x:v>
      </x:c>
      <x:c r="B14" s="64" t="str">
        <x:v>AD Naya Veteranos</x:v>
      </x:c>
      <x:c r="C14" s="64" t="str">
        <x:v>Depor Guadalajara</x:v>
      </x:c>
      <x:c r="D14" s="64" t="str">
        <x:v>14–15 nov 2026</x:v>
      </x:c>
      <x:c r="E14" s="64" t="str">
        <x:v>—</x:v>
      </x:c>
      <x:c r="F14" s="64" t="str"/>
      <x:c r="G14" s="64" t="str"/>
      <x:c r="H14" s="64" t="str"/>
      <x:c r="I14" s="64" t="str"/>
      <x:c r="J14" s="41" t="str">
        <x:f>IF(C14="DESCANSA","Descanso",IF(AND(ISNUMBER(H14),ISNUMBER(I14)),"Jugado","Pendiente"))</x:f>
        <x:v>Pendiente</x:v>
      </x:c>
    </x:row>
    <x:row r="15">
      <x:c r="A15" s="40" t="n">
        <x:v>3</x:v>
      </x:c>
      <x:c r="B15" s="64" t="str">
        <x:v>Paracuellos Veteranos</x:v>
      </x:c>
      <x:c r="C15" s="64" t="str">
        <x:v>DESCANSA</x:v>
      </x:c>
      <x:c r="D15" s="64" t="str">
        <x:v>14–15 nov 2026</x:v>
      </x:c>
      <x:c r="E15" s="64" t="str">
        <x:v>—</x:v>
      </x:c>
      <x:c r="F15" s="64" t="str"/>
      <x:c r="G15" s="64" t="str"/>
      <x:c r="H15" s="64" t="str"/>
      <x:c r="I15" s="64" t="str"/>
      <x:c r="J15" s="41" t="str">
        <x:f>IF(C15="DESCANSA","Descanso",IF(AND(ISNUMBER(H15),ISNUMBER(I15)),"Jugado","Pendiente"))</x:f>
        <x:v>Descanso</x:v>
      </x:c>
    </x:row>
    <x:row r="16">
      <x:c r="A16" s="40" t="n">
        <x:v>3</x:v>
      </x:c>
      <x:c r="B16" s="64" t="str">
        <x:v>CDE Veteranos Ajalvir</x:v>
      </x:c>
      <x:c r="C16" s="64" t="str">
        <x:v>AD Alcobendas Veteranos</x:v>
      </x:c>
      <x:c r="D16" s="64" t="str">
        <x:v>14–15 nov 2026</x:v>
      </x:c>
      <x:c r="E16" s="64" t="str">
        <x:v>—</x:v>
      </x:c>
      <x:c r="F16" s="64" t="str"/>
      <x:c r="G16" s="64" t="str"/>
      <x:c r="H16" s="64" t="str"/>
      <x:c r="I16" s="64" t="str"/>
      <x:c r="J16" s="41" t="str">
        <x:f>IF(C16="DESCANSA","Descanso",IF(AND(ISNUMBER(H16),ISNUMBER(I16)),"Jugado","Pendiente"))</x:f>
        <x:v>Pendiente</x:v>
      </x:c>
    </x:row>
    <x:row r="17">
      <x:c r="A17" s="40" t="n">
        <x:v>4</x:v>
      </x:c>
      <x:c r="B17" s="64" t="str">
        <x:v>AD Naya Veteranos</x:v>
      </x:c>
      <x:c r="C17" s="64" t="str">
        <x:v>San Gabriel Veteranos</x:v>
      </x:c>
      <x:c r="D17" s="64" t="str">
        <x:v>21–22 nov 2026</x:v>
      </x:c>
      <x:c r="E17" s="64" t="str">
        <x:v>28–29 nov 2026</x:v>
      </x:c>
      <x:c r="F17" s="64" t="str"/>
      <x:c r="G17" s="64" t="str"/>
      <x:c r="H17" s="64" t="str"/>
      <x:c r="I17" s="64" t="str"/>
      <x:c r="J17" s="41" t="str">
        <x:f>IF(C17="DESCANSA","Descanso",IF(AND(ISNUMBER(H17),ISNUMBER(I17)),"Jugado","Pendiente"))</x:f>
        <x:v>Pendiente</x:v>
      </x:c>
    </x:row>
    <x:row r="18">
      <x:c r="A18" s="40" t="n">
        <x:v>4</x:v>
      </x:c>
      <x:c r="B18" s="64" t="str">
        <x:v>Rayo Alcalá</x:v>
      </x:c>
      <x:c r="C18" s="64" t="str">
        <x:v>Paracuellos Veteranos</x:v>
      </x:c>
      <x:c r="D18" s="64" t="str">
        <x:v>21–22 nov 2026</x:v>
      </x:c>
      <x:c r="E18" s="64" t="str">
        <x:v>28–29 nov 2026</x:v>
      </x:c>
      <x:c r="F18" s="64" t="str"/>
      <x:c r="G18" s="64" t="str"/>
      <x:c r="H18" s="64" t="str"/>
      <x:c r="I18" s="64" t="str"/>
      <x:c r="J18" s="41" t="str">
        <x:f>IF(C18="DESCANSA","Descanso",IF(AND(ISNUMBER(H18),ISNUMBER(I18)),"Jugado","Pendiente"))</x:f>
        <x:v>Pendiente</x:v>
      </x:c>
    </x:row>
    <x:row r="19">
      <x:c r="A19" s="40" t="n">
        <x:v>4</x:v>
      </x:c>
      <x:c r="B19" s="64" t="str">
        <x:v>CDE Veteranos Ajalvir</x:v>
      </x:c>
      <x:c r="C19" s="64" t="str">
        <x:v>Depor Guadalajara</x:v>
      </x:c>
      <x:c r="D19" s="64" t="str">
        <x:v>21–22 nov 2026</x:v>
      </x:c>
      <x:c r="E19" s="64" t="str">
        <x:v>28–29 nov 2026</x:v>
      </x:c>
      <x:c r="F19" s="64" t="str"/>
      <x:c r="G19" s="64" t="str"/>
      <x:c r="H19" s="64" t="str"/>
      <x:c r="I19" s="64" t="str"/>
      <x:c r="J19" s="41" t="str">
        <x:f>IF(C19="DESCANSA","Descanso",IF(AND(ISNUMBER(H19),ISNUMBER(I19)),"Jugado","Pendiente"))</x:f>
        <x:v>Pendiente</x:v>
      </x:c>
    </x:row>
    <x:row r="20">
      <x:c r="A20" s="40" t="n">
        <x:v>4</x:v>
      </x:c>
      <x:c r="B20" s="64" t="str">
        <x:v>AD Alcobendas Veteranos</x:v>
      </x:c>
      <x:c r="C20" s="64" t="str">
        <x:v>DESCANSA</x:v>
      </x:c>
      <x:c r="D20" s="64" t="str">
        <x:v>21–22 nov 2026</x:v>
      </x:c>
      <x:c r="E20" s="64" t="str">
        <x:v>28–29 nov 2026</x:v>
      </x:c>
      <x:c r="F20" s="64" t="str"/>
      <x:c r="G20" s="64" t="str"/>
      <x:c r="H20" s="64" t="str"/>
      <x:c r="I20" s="64" t="str"/>
      <x:c r="J20" s="41" t="str">
        <x:f>IF(C20="DESCANSA","Descanso",IF(AND(ISNUMBER(H20),ISNUMBER(I20)),"Jugado","Pendiente"))</x:f>
        <x:v>Descanso</x:v>
      </x:c>
    </x:row>
    <x:row r="21">
      <x:c r="A21" s="40" t="n">
        <x:v>5</x:v>
      </x:c>
      <x:c r="B21" s="64" t="str">
        <x:v>San Gabriel Veteranos</x:v>
      </x:c>
      <x:c r="C21" s="64" t="str">
        <x:v>Paracuellos Veteranos</x:v>
      </x:c>
      <x:c r="D21" s="64" t="str">
        <x:v>12–13 dic 2026</x:v>
      </x:c>
      <x:c r="E21" s="64" t="str">
        <x:v>19–20 dic 2026</x:v>
      </x:c>
      <x:c r="F21" s="64" t="str"/>
      <x:c r="G21" s="64" t="str"/>
      <x:c r="H21" s="64" t="str"/>
      <x:c r="I21" s="64" t="str"/>
      <x:c r="J21" s="41" t="str">
        <x:f>IF(C21="DESCANSA","Descanso",IF(AND(ISNUMBER(H21),ISNUMBER(I21)),"Jugado","Pendiente"))</x:f>
        <x:v>Pendiente</x:v>
      </x:c>
    </x:row>
    <x:row r="22">
      <x:c r="A22" s="40" t="n">
        <x:v>5</x:v>
      </x:c>
      <x:c r="B22" s="64" t="str">
        <x:v>CDE Veteranos Ajalvir</x:v>
      </x:c>
      <x:c r="C22" s="64" t="str">
        <x:v>AD Naya Veteranos</x:v>
      </x:c>
      <x:c r="D22" s="64" t="str">
        <x:v>12–13 dic 2026</x:v>
      </x:c>
      <x:c r="E22" s="64" t="str">
        <x:v>19–20 dic 2026</x:v>
      </x:c>
      <x:c r="F22" s="64" t="str"/>
      <x:c r="G22" s="64" t="str"/>
      <x:c r="H22" s="64" t="str"/>
      <x:c r="I22" s="64" t="str"/>
      <x:c r="J22" s="41" t="str">
        <x:f>IF(C22="DESCANSA","Descanso",IF(AND(ISNUMBER(H22),ISNUMBER(I22)),"Jugado","Pendiente"))</x:f>
        <x:v>Pendiente</x:v>
      </x:c>
    </x:row>
    <x:row r="23">
      <x:c r="A23" s="40" t="n">
        <x:v>5</x:v>
      </x:c>
      <x:c r="B23" s="64" t="str">
        <x:v>Rayo Alcalá</x:v>
      </x:c>
      <x:c r="C23" s="64" t="str">
        <x:v>AD Alcobendas Veteranos</x:v>
      </x:c>
      <x:c r="D23" s="64" t="str">
        <x:v>12–13 dic 2026</x:v>
      </x:c>
      <x:c r="E23" s="64" t="str">
        <x:v>19–20 dic 2026</x:v>
      </x:c>
      <x:c r="F23" s="64" t="str"/>
      <x:c r="G23" s="64" t="str"/>
      <x:c r="H23" s="64" t="str"/>
      <x:c r="I23" s="64" t="str"/>
      <x:c r="J23" s="41" t="str">
        <x:f>IF(C23="DESCANSA","Descanso",IF(AND(ISNUMBER(H23),ISNUMBER(I23)),"Jugado","Pendiente"))</x:f>
        <x:v>Pendiente</x:v>
      </x:c>
    </x:row>
    <x:row r="24">
      <x:c r="A24" s="40" t="n">
        <x:v>5</x:v>
      </x:c>
      <x:c r="B24" s="64" t="str">
        <x:v>Depor Guadalajara</x:v>
      </x:c>
      <x:c r="C24" s="64" t="str">
        <x:v>DESCANSA</x:v>
      </x:c>
      <x:c r="D24" s="64" t="str">
        <x:v>12–13 dic 2026</x:v>
      </x:c>
      <x:c r="E24" s="64" t="str">
        <x:v>19–20 dic 2026</x:v>
      </x:c>
      <x:c r="F24" s="64" t="str"/>
      <x:c r="G24" s="64" t="str"/>
      <x:c r="H24" s="64" t="str"/>
      <x:c r="I24" s="64" t="str"/>
      <x:c r="J24" s="41" t="str">
        <x:f>IF(C24="DESCANSA","Descanso",IF(AND(ISNUMBER(H24),ISNUMBER(I24)),"Jugado","Pendiente"))</x:f>
        <x:v>Descanso</x:v>
      </x:c>
    </x:row>
    <x:row r="25">
      <x:c r="A25" s="40" t="n">
        <x:v>6</x:v>
      </x:c>
      <x:c r="B25" s="64" t="str">
        <x:v>CDE Veteranos Ajalvir</x:v>
      </x:c>
      <x:c r="C25" s="64" t="str">
        <x:v>San Gabriel Veteranos</x:v>
      </x:c>
      <x:c r="D25" s="64" t="str">
        <x:v>9–10 ene 2027</x:v>
      </x:c>
      <x:c r="E25" s="64" t="str">
        <x:v>16–17 ene 2027</x:v>
      </x:c>
      <x:c r="F25" s="64" t="str"/>
      <x:c r="G25" s="64" t="str"/>
      <x:c r="H25" s="64" t="str"/>
      <x:c r="I25" s="64" t="str"/>
      <x:c r="J25" s="41" t="str">
        <x:f>IF(C25="DESCANSA","Descanso",IF(AND(ISNUMBER(H25),ISNUMBER(I25)),"Jugado","Pendiente"))</x:f>
        <x:v>Pendiente</x:v>
      </x:c>
    </x:row>
    <x:row r="26">
      <x:c r="A26" s="40" t="n">
        <x:v>6</x:v>
      </x:c>
      <x:c r="B26" s="64" t="str">
        <x:v>Paracuellos Veteranos</x:v>
      </x:c>
      <x:c r="C26" s="64" t="str">
        <x:v>AD Alcobendas Veteranos</x:v>
      </x:c>
      <x:c r="D26" s="64" t="str">
        <x:v>9–10 ene 2027</x:v>
      </x:c>
      <x:c r="E26" s="64" t="str">
        <x:v>16–17 ene 2027</x:v>
      </x:c>
      <x:c r="F26" s="64" t="str"/>
      <x:c r="G26" s="64" t="str"/>
      <x:c r="H26" s="64" t="str"/>
      <x:c r="I26" s="64" t="str"/>
      <x:c r="J26" s="41" t="str">
        <x:f>IF(C26="DESCANSA","Descanso",IF(AND(ISNUMBER(H26),ISNUMBER(I26)),"Jugado","Pendiente"))</x:f>
        <x:v>Pendiente</x:v>
      </x:c>
    </x:row>
    <x:row r="27">
      <x:c r="A27" s="40" t="n">
        <x:v>6</x:v>
      </x:c>
      <x:c r="B27" s="64" t="str">
        <x:v>AD Naya Veteranos</x:v>
      </x:c>
      <x:c r="C27" s="64" t="str">
        <x:v>DESCANSA</x:v>
      </x:c>
      <x:c r="D27" s="64" t="str">
        <x:v>9–10 ene 2027</x:v>
      </x:c>
      <x:c r="E27" s="64" t="str">
        <x:v>16–17 ene 2027</x:v>
      </x:c>
      <x:c r="F27" s="64" t="str"/>
      <x:c r="G27" s="64" t="str"/>
      <x:c r="H27" s="64" t="str"/>
      <x:c r="I27" s="64" t="str"/>
      <x:c r="J27" s="41" t="str">
        <x:f>IF(C27="DESCANSA","Descanso",IF(AND(ISNUMBER(H27),ISNUMBER(I27)),"Jugado","Pendiente"))</x:f>
        <x:v>Descanso</x:v>
      </x:c>
    </x:row>
    <x:row r="28">
      <x:c r="A28" s="40" t="n">
        <x:v>6</x:v>
      </x:c>
      <x:c r="B28" s="64" t="str">
        <x:v>Rayo Alcalá</x:v>
      </x:c>
      <x:c r="C28" s="64" t="str">
        <x:v>Depor Guadalajara</x:v>
      </x:c>
      <x:c r="D28" s="64" t="str">
        <x:v>9–10 ene 2027</x:v>
      </x:c>
      <x:c r="E28" s="64" t="str">
        <x:v>16–17 ene 2027</x:v>
      </x:c>
      <x:c r="F28" s="64" t="str"/>
      <x:c r="G28" s="64" t="str"/>
      <x:c r="H28" s="64" t="str"/>
      <x:c r="I28" s="64" t="str"/>
      <x:c r="J28" s="41" t="str">
        <x:f>IF(C28="DESCANSA","Descanso",IF(AND(ISNUMBER(H28),ISNUMBER(I28)),"Jugado","Pendiente"))</x:f>
        <x:v>Pendiente</x:v>
      </x:c>
    </x:row>
    <x:row r="29">
      <x:c r="A29" s="40" t="n">
        <x:v>7</x:v>
      </x:c>
      <x:c r="B29" s="64" t="str">
        <x:v>San Gabriel Veteranos</x:v>
      </x:c>
      <x:c r="C29" s="64" t="str">
        <x:v>AD Alcobendas Veteranos</x:v>
      </x:c>
      <x:c r="D29" s="64" t="str">
        <x:v>23–24 ene 2027</x:v>
      </x:c>
      <x:c r="E29" s="64" t="str">
        <x:v>30–31 ene 2027</x:v>
      </x:c>
      <x:c r="F29" s="64" t="str"/>
      <x:c r="G29" s="64" t="str"/>
      <x:c r="H29" s="64" t="str"/>
      <x:c r="I29" s="64" t="str"/>
      <x:c r="J29" s="41" t="str">
        <x:f>IF(C29="DESCANSA","Descanso",IF(AND(ISNUMBER(H29),ISNUMBER(I29)),"Jugado","Pendiente"))</x:f>
        <x:v>Pendiente</x:v>
      </x:c>
    </x:row>
    <x:row r="30">
      <x:c r="A30" s="40" t="n">
        <x:v>7</x:v>
      </x:c>
      <x:c r="B30" s="64" t="str">
        <x:v>CDE Veteranos Ajalvir</x:v>
      </x:c>
      <x:c r="C30" s="64" t="str">
        <x:v>DESCANSA</x:v>
      </x:c>
      <x:c r="D30" s="64" t="str">
        <x:v>23–24 ene 2027</x:v>
      </x:c>
      <x:c r="E30" s="64" t="str">
        <x:v>30–31 ene 2027</x:v>
      </x:c>
      <x:c r="F30" s="64" t="str"/>
      <x:c r="G30" s="64" t="str"/>
      <x:c r="H30" s="64" t="str"/>
      <x:c r="I30" s="64" t="str"/>
      <x:c r="J30" s="41" t="str">
        <x:f>IF(C30="DESCANSA","Descanso",IF(AND(ISNUMBER(H30),ISNUMBER(I30)),"Jugado","Pendiente"))</x:f>
        <x:v>Descanso</x:v>
      </x:c>
    </x:row>
    <x:row r="31">
      <x:c r="A31" s="40" t="n">
        <x:v>7</x:v>
      </x:c>
      <x:c r="B31" s="64" t="str">
        <x:v>Paracuellos Veteranos</x:v>
      </x:c>
      <x:c r="C31" s="64" t="str">
        <x:v>Depor Guadalajara</x:v>
      </x:c>
      <x:c r="D31" s="64" t="str">
        <x:v>23–24 ene 2027</x:v>
      </x:c>
      <x:c r="E31" s="64" t="str">
        <x:v>30–31 ene 2027</x:v>
      </x:c>
      <x:c r="F31" s="64" t="str"/>
      <x:c r="G31" s="64" t="str"/>
      <x:c r="H31" s="64" t="str"/>
      <x:c r="I31" s="64" t="str"/>
      <x:c r="J31" s="41" t="str">
        <x:f>IF(C31="DESCANSA","Descanso",IF(AND(ISNUMBER(H31),ISNUMBER(I31)),"Jugado","Pendiente"))</x:f>
        <x:v>Pendiente</x:v>
      </x:c>
    </x:row>
    <x:row r="32">
      <x:c r="A32" s="42" t="n">
        <x:v>7</x:v>
      </x:c>
      <x:c r="B32" s="75" t="str">
        <x:v>Rayo Alcalá</x:v>
      </x:c>
      <x:c r="C32" s="75" t="str">
        <x:v>AD Naya Veteranos</x:v>
      </x:c>
      <x:c r="D32" s="75" t="str">
        <x:v>23–24 ene 2027</x:v>
      </x:c>
      <x:c r="E32" s="75" t="str">
        <x:v>30–31 ene 2027</x:v>
      </x:c>
      <x:c r="F32" s="75" t="str"/>
      <x:c r="G32" s="75" t="str"/>
      <x:c r="H32" s="75" t="str"/>
      <x:c r="I32" s="75" t="str"/>
      <x:c r="J32" s="43" t="str">
        <x:f>IF(C32="DESCANSA","Descanso",IF(AND(ISNUMBER(H32),ISNUMBER(I32)),"Jugado","Pendiente"))</x:f>
        <x:v>Pendiente</x:v>
      </x:c>
    </x:row>
  </x:sheetData>
  <x:mergeCells>
    <x:mergeCell ref="A1:J2"/>
    <x:mergeCell ref="L1:V2"/>
  </x:mergeCells>
  <x:conditionalFormatting sqref="V5:V11">
    <x:cfRule type="expression" dxfId="3" priority="1">
      <x:formula>V5="Oro"</x:formula>
    </x:cfRule>
    <x:cfRule type="expression" dxfId="4" priority="2">
      <x:formula>V5="Plata"</x:formula>
    </x:cfRule>
    <x:cfRule type="expression" dxfId="5" priority="3">
      <x:formula>V5="Comparar 4.º"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19" hidden="0" customWidth="1"/>
    <x:col min="5" max="5" width="19" hidden="0" customWidth="1"/>
    <x:col min="6" max="6" width="16" hidden="0" customWidth="1"/>
    <x:col min="7" max="7" width="10" hidden="0" customWidth="1"/>
    <x:col min="8" max="8" width="9" hidden="0" customWidth="1"/>
    <x:col min="9" max="9" width="9" hidden="0" customWidth="1"/>
    <x:col min="10" max="10" width="13" hidden="0" customWidth="1"/>
    <x:col min="12" max="12" width="24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</x:cols>
  <x:sheetData>
    <x:row r="1">
      <x:c r="A1" s="5" t="str">
        <x:v>2.ª FASE · LIGA ORO</x:v>
      </x:c>
      <x:c r="B1" s="5"/>
      <x:c r="C1" s="5"/>
      <x:c r="D1" s="5"/>
      <x:c r="E1" s="5"/>
      <x:c r="F1" s="5"/>
      <x:c r="G1" s="5"/>
      <x:c r="H1" s="5"/>
      <x:c r="I1" s="5"/>
      <x:c r="J1" s="5"/>
      <x:c r="L1" s="173" t="str">
        <x:v>CLASIFICACIÓN</x:v>
      </x:c>
      <x:c r="M1" s="173"/>
      <x:c r="N1" s="173"/>
      <x:c r="O1" s="173"/>
      <x:c r="P1" s="173"/>
      <x:c r="Q1" s="173"/>
      <x:c r="R1" s="173"/>
      <x:c r="S1" s="173"/>
      <x:c r="T1" s="173"/>
      <x:c r="U1" s="173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L2" s="173"/>
      <x:c r="M2" s="173"/>
      <x:c r="N2" s="173"/>
      <x:c r="O2" s="173"/>
      <x:c r="P2" s="173"/>
      <x:c r="Q2" s="173"/>
      <x:c r="R2" s="173"/>
      <x:c r="S2" s="173"/>
      <x:c r="T2" s="173"/>
      <x:c r="U2" s="173"/>
    </x:row>
    <x:row r="4">
      <x:c r="A4" s="14" t="str">
        <x:v>Jornada</x:v>
      </x:c>
      <x:c r="B4" s="14" t="str">
        <x:v>Local</x:v>
      </x:c>
      <x:c r="C4" s="14" t="str">
        <x:v>Visitante</x:v>
      </x:c>
      <x:c r="D4" s="14" t="str">
        <x:v>Ventana 1</x:v>
      </x:c>
      <x:c r="E4" s="14" t="str">
        <x:v>Ventana 2</x:v>
      </x:c>
      <x:c r="F4" s="14" t="str">
        <x:v>Fecha acordada</x:v>
      </x:c>
      <x:c r="G4" s="14" t="str">
        <x:v>Hora</x:v>
      </x:c>
      <x:c r="H4" s="14" t="str">
        <x:v>Goles L</x:v>
      </x:c>
      <x:c r="I4" s="14" t="str">
        <x:v>Goles V</x:v>
      </x:c>
      <x:c r="J4" s="14" t="str">
        <x:v>Estado</x:v>
      </x:c>
      <x:c r="L4" s="14" t="str">
        <x:v>Equipo/posición</x:v>
      </x:c>
      <x:c r="M4" s="14" t="str">
        <x:v>PJ</x:v>
      </x:c>
      <x:c r="N4" s="14" t="str">
        <x:v>PG</x:v>
      </x:c>
      <x:c r="O4" s="14" t="str">
        <x:v>PE</x:v>
      </x:c>
      <x:c r="P4" s="14" t="str">
        <x:v>PP</x:v>
      </x:c>
      <x:c r="Q4" s="14" t="str">
        <x:v>GF</x:v>
      </x:c>
      <x:c r="R4" s="14" t="str">
        <x:v>GC</x:v>
      </x:c>
      <x:c r="S4" s="14" t="str">
        <x:v>DG</x:v>
      </x:c>
      <x:c r="T4" s="14" t="str">
        <x:v>Pts</x:v>
      </x:c>
      <x:c r="U4" s="14" t="str">
        <x:v>Pos.</x:v>
      </x:c>
    </x:row>
    <x:row r="5">
      <x:c r="A5" s="90" t="n">
        <x:v>8</x:v>
      </x:c>
      <x:c r="B5" s="70" t="str">
        <x:v>1.º Guadalajara</x:v>
      </x:c>
      <x:c r="C5" s="70" t="str">
        <x:v>DESCANSA</x:v>
      </x:c>
      <x:c r="D5" s="70" t="str">
        <x:v>6–7 feb 2027</x:v>
      </x:c>
      <x:c r="E5" s="70" t="str">
        <x:v>13–14 feb 2027</x:v>
      </x:c>
      <x:c r="F5" s="70" t="str"/>
      <x:c r="G5" s="70" t="str"/>
      <x:c r="H5" s="70" t="str"/>
      <x:c r="I5" s="70" t="str"/>
      <x:c r="J5" s="71" t="str">
        <x:f>IF(C5="DESCANSA","Descanso",IF(AND(ISNUMBER(H5),ISNUMBER(I5)),"Jugado","Pendiente"))</x:f>
        <x:v>Descanso</x:v>
      </x:c>
      <x:c r="L5" s="162" t="str">
        <x:v>1.º Guadalajara</x:v>
      </x:c>
      <x:c r="M5" s="163" t="n">
        <x:f>COUNTIFS($B$5:$B$32,L5,$J$5:$J$32,"Jugado")+COUNTIFS($C$5:$C$32,L5,$J$5:$J$32,"Jugado")</x:f>
        <x:v>0</x:v>
      </x:c>
      <x:c r="N5" s="163" t="n">
        <x:f>SUMPRODUCT(($B$5:$B$32=L5)*($J$5:$J$32="Jugado")*($H$5:$H$32&gt;$I$5:$I$32))+SUMPRODUCT(($C$5:$C$32=L5)*($J$5:$J$32="Jugado")*($I$5:$I$32&gt;$H$5:$H$32))</x:f>
        <x:v>0</x:v>
      </x:c>
      <x:c r="O5" s="163" t="n">
        <x:f>SUMPRODUCT(($J$5:$J$32="Jugado")*(($B$5:$B$32=L5)+($C$5:$C$32=L5))*($H$5:$H$32=$I$5:$I$32))</x:f>
        <x:v>0</x:v>
      </x:c>
      <x:c r="P5" s="163" t="n">
        <x:f>M5-N5-O5</x:f>
        <x:v>0</x:v>
      </x:c>
      <x:c r="Q5" s="163" t="n">
        <x:f>SUMIFS($H$5:$H$32,$B$5:$B$32,L5,$J$5:$J$32,"Jugado")+SUMIFS($I$5:$I$32,$C$5:$C$32,L5,$J$5:$J$32,"Jugado")</x:f>
        <x:v>0</x:v>
      </x:c>
      <x:c r="R5" s="163" t="n">
        <x:f>SUMIFS($I$5:$I$32,$B$5:$B$32,L5,$J$5:$J$32,"Jugado")+SUMIFS($H$5:$H$32,$C$5:$C$32,L5,$J$5:$J$32,"Jugado")</x:f>
        <x:v>0</x:v>
      </x:c>
      <x:c r="S5" s="163" t="n">
        <x:f>Q5-R5</x:f>
        <x:v>0</x:v>
      </x:c>
      <x:c r="T5" s="163" t="n">
        <x:f>N5*3+O5</x:f>
        <x:v>0</x:v>
      </x:c>
      <x:c r="U5" s="164" t="n">
        <x:f>1+SUMPRODUCT(($T$5:$T$11&gt;T5)+($T$5:$T$11=T5)*($S$5:$S$11&gt;S5))</x:f>
        <x:v>1</x:v>
      </x:c>
    </x:row>
    <x:row r="6">
      <x:c r="A6" s="40" t="n">
        <x:v>8</x:v>
      </x:c>
      <x:c r="B6" s="64" t="str">
        <x:v>Mejor 4.º</x:v>
      </x:c>
      <x:c r="C6" s="64" t="str">
        <x:v>2.º Guadalajara</x:v>
      </x:c>
      <x:c r="D6" s="64" t="str">
        <x:v>6–7 feb 2027</x:v>
      </x:c>
      <x:c r="E6" s="64" t="str">
        <x:v>13–14 feb 2027</x:v>
      </x:c>
      <x:c r="F6" s="64" t="str"/>
      <x:c r="G6" s="64" t="str"/>
      <x:c r="H6" s="64" t="str"/>
      <x:c r="I6" s="64" t="str"/>
      <x:c r="J6" s="41" t="str">
        <x:f>IF(C6="DESCANSA","Descanso",IF(AND(ISNUMBER(H6),ISNUMBER(I6)),"Jugado","Pendiente"))</x:f>
        <x:v>Pendiente</x:v>
      </x:c>
      <x:c r="L6" s="36" t="str">
        <x:v>2.º Guadalajara</x:v>
      </x:c>
      <x:c r="M6" s="165" t="n">
        <x:f>COUNTIFS($B$5:$B$32,L6,$J$5:$J$32,"Jugado")+COUNTIFS($C$5:$C$32,L6,$J$5:$J$32,"Jugado")</x:f>
        <x:v>0</x:v>
      </x:c>
      <x:c r="N6" s="165" t="n">
        <x:f>SUMPRODUCT(($B$5:$B$32=L6)*($J$5:$J$32="Jugado")*($H$5:$H$32&gt;$I$5:$I$32))+SUMPRODUCT(($C$5:$C$32=L6)*($J$5:$J$32="Jugado")*($I$5:$I$32&gt;$H$5:$H$32))</x:f>
        <x:v>0</x:v>
      </x:c>
      <x:c r="O6" s="165" t="n">
        <x:f>SUMPRODUCT(($J$5:$J$32="Jugado")*(($B$5:$B$32=L6)+($C$5:$C$32=L6))*($H$5:$H$32=$I$5:$I$32))</x:f>
        <x:v>0</x:v>
      </x:c>
      <x:c r="P6" s="165" t="n">
        <x:f>M6-N6-O6</x:f>
        <x:v>0</x:v>
      </x:c>
      <x:c r="Q6" s="165" t="n">
        <x:f>SUMIFS($H$5:$H$32,$B$5:$B$32,L6,$J$5:$J$32,"Jugado")+SUMIFS($I$5:$I$32,$C$5:$C$32,L6,$J$5:$J$32,"Jugado")</x:f>
        <x:v>0</x:v>
      </x:c>
      <x:c r="R6" s="165" t="n">
        <x:f>SUMIFS($I$5:$I$32,$B$5:$B$32,L6,$J$5:$J$32,"Jugado")+SUMIFS($H$5:$H$32,$C$5:$C$32,L6,$J$5:$J$32,"Jugado")</x:f>
        <x:v>0</x:v>
      </x:c>
      <x:c r="S6" s="165" t="n">
        <x:f>Q6-R6</x:f>
        <x:v>0</x:v>
      </x:c>
      <x:c r="T6" s="165" t="n">
        <x:f>N6*3+O6</x:f>
        <x:v>0</x:v>
      </x:c>
      <x:c r="U6" s="27" t="n">
        <x:f>1+SUMPRODUCT(($T$5:$T$11&gt;T6)+($T$5:$T$11=T6)*($S$5:$S$11&gt;S6))</x:f>
        <x:v>1</x:v>
      </x:c>
    </x:row>
    <x:row r="7">
      <x:c r="A7" s="40" t="n">
        <x:v>8</x:v>
      </x:c>
      <x:c r="B7" s="64" t="str">
        <x:v>3.º Guadalajara</x:v>
      </x:c>
      <x:c r="C7" s="64" t="str">
        <x:v>3.º Madrid</x:v>
      </x:c>
      <x:c r="D7" s="64" t="str">
        <x:v>6–7 feb 2027</x:v>
      </x:c>
      <x:c r="E7" s="64" t="str">
        <x:v>13–14 feb 2027</x:v>
      </x:c>
      <x:c r="F7" s="64" t="str"/>
      <x:c r="G7" s="64" t="str"/>
      <x:c r="H7" s="64" t="str"/>
      <x:c r="I7" s="64" t="str"/>
      <x:c r="J7" s="41" t="str">
        <x:f>IF(C7="DESCANSA","Descanso",IF(AND(ISNUMBER(H7),ISNUMBER(I7)),"Jugado","Pendiente"))</x:f>
        <x:v>Pendiente</x:v>
      </x:c>
      <x:c r="L7" s="36" t="str">
        <x:v>3.º Guadalajara</x:v>
      </x:c>
      <x:c r="M7" s="165" t="n">
        <x:f>COUNTIFS($B$5:$B$32,L7,$J$5:$J$32,"Jugado")+COUNTIFS($C$5:$C$32,L7,$J$5:$J$32,"Jugado")</x:f>
        <x:v>0</x:v>
      </x:c>
      <x:c r="N7" s="165" t="n">
        <x:f>SUMPRODUCT(($B$5:$B$32=L7)*($J$5:$J$32="Jugado")*($H$5:$H$32&gt;$I$5:$I$32))+SUMPRODUCT(($C$5:$C$32=L7)*($J$5:$J$32="Jugado")*($I$5:$I$32&gt;$H$5:$H$32))</x:f>
        <x:v>0</x:v>
      </x:c>
      <x:c r="O7" s="165" t="n">
        <x:f>SUMPRODUCT(($J$5:$J$32="Jugado")*(($B$5:$B$32=L7)+($C$5:$C$32=L7))*($H$5:$H$32=$I$5:$I$32))</x:f>
        <x:v>0</x:v>
      </x:c>
      <x:c r="P7" s="165" t="n">
        <x:f>M7-N7-O7</x:f>
        <x:v>0</x:v>
      </x:c>
      <x:c r="Q7" s="165" t="n">
        <x:f>SUMIFS($H$5:$H$32,$B$5:$B$32,L7,$J$5:$J$32,"Jugado")+SUMIFS($I$5:$I$32,$C$5:$C$32,L7,$J$5:$J$32,"Jugado")</x:f>
        <x:v>0</x:v>
      </x:c>
      <x:c r="R7" s="165" t="n">
        <x:f>SUMIFS($I$5:$I$32,$B$5:$B$32,L7,$J$5:$J$32,"Jugado")+SUMIFS($H$5:$H$32,$C$5:$C$32,L7,$J$5:$J$32,"Jugado")</x:f>
        <x:v>0</x:v>
      </x:c>
      <x:c r="S7" s="165" t="n">
        <x:f>Q7-R7</x:f>
        <x:v>0</x:v>
      </x:c>
      <x:c r="T7" s="165" t="n">
        <x:f>N7*3+O7</x:f>
        <x:v>0</x:v>
      </x:c>
      <x:c r="U7" s="27" t="n">
        <x:f>1+SUMPRODUCT(($T$5:$T$11&gt;T7)+($T$5:$T$11=T7)*($S$5:$S$11&gt;S7))</x:f>
        <x:v>1</x:v>
      </x:c>
    </x:row>
    <x:row r="8">
      <x:c r="A8" s="40" t="n">
        <x:v>8</x:v>
      </x:c>
      <x:c r="B8" s="64" t="str">
        <x:v>2.º Madrid</x:v>
      </x:c>
      <x:c r="C8" s="64" t="str">
        <x:v>1.º Madrid</x:v>
      </x:c>
      <x:c r="D8" s="64" t="str">
        <x:v>6–7 feb 2027</x:v>
      </x:c>
      <x:c r="E8" s="64" t="str">
        <x:v>13–14 feb 2027</x:v>
      </x:c>
      <x:c r="F8" s="64" t="str"/>
      <x:c r="G8" s="64" t="str"/>
      <x:c r="H8" s="64" t="str"/>
      <x:c r="I8" s="64" t="str"/>
      <x:c r="J8" s="41" t="str">
        <x:f>IF(C8="DESCANSA","Descanso",IF(AND(ISNUMBER(H8),ISNUMBER(I8)),"Jugado","Pendiente"))</x:f>
        <x:v>Pendiente</x:v>
      </x:c>
      <x:c r="L8" s="36" t="str">
        <x:v>1.º Madrid</x:v>
      </x:c>
      <x:c r="M8" s="165" t="n">
        <x:f>COUNTIFS($B$5:$B$32,L8,$J$5:$J$32,"Jugado")+COUNTIFS($C$5:$C$32,L8,$J$5:$J$32,"Jugado")</x:f>
        <x:v>0</x:v>
      </x:c>
      <x:c r="N8" s="165" t="n">
        <x:f>SUMPRODUCT(($B$5:$B$32=L8)*($J$5:$J$32="Jugado")*($H$5:$H$32&gt;$I$5:$I$32))+SUMPRODUCT(($C$5:$C$32=L8)*($J$5:$J$32="Jugado")*($I$5:$I$32&gt;$H$5:$H$32))</x:f>
        <x:v>0</x:v>
      </x:c>
      <x:c r="O8" s="165" t="n">
        <x:f>SUMPRODUCT(($J$5:$J$32="Jugado")*(($B$5:$B$32=L8)+($C$5:$C$32=L8))*($H$5:$H$32=$I$5:$I$32))</x:f>
        <x:v>0</x:v>
      </x:c>
      <x:c r="P8" s="165" t="n">
        <x:f>M8-N8-O8</x:f>
        <x:v>0</x:v>
      </x:c>
      <x:c r="Q8" s="165" t="n">
        <x:f>SUMIFS($H$5:$H$32,$B$5:$B$32,L8,$J$5:$J$32,"Jugado")+SUMIFS($I$5:$I$32,$C$5:$C$32,L8,$J$5:$J$32,"Jugado")</x:f>
        <x:v>0</x:v>
      </x:c>
      <x:c r="R8" s="165" t="n">
        <x:f>SUMIFS($I$5:$I$32,$B$5:$B$32,L8,$J$5:$J$32,"Jugado")+SUMIFS($H$5:$H$32,$C$5:$C$32,L8,$J$5:$J$32,"Jugado")</x:f>
        <x:v>0</x:v>
      </x:c>
      <x:c r="S8" s="165" t="n">
        <x:f>Q8-R8</x:f>
        <x:v>0</x:v>
      </x:c>
      <x:c r="T8" s="165" t="n">
        <x:f>N8*3+O8</x:f>
        <x:v>0</x:v>
      </x:c>
      <x:c r="U8" s="27" t="n">
        <x:f>1+SUMPRODUCT(($T$5:$T$11&gt;T8)+($T$5:$T$11=T8)*($S$5:$S$11&gt;S8))</x:f>
        <x:v>1</x:v>
      </x:c>
    </x:row>
    <x:row r="9">
      <x:c r="A9" s="40" t="n">
        <x:v>9</x:v>
      </x:c>
      <x:c r="B9" s="64" t="str">
        <x:v>Mejor 4.º</x:v>
      </x:c>
      <x:c r="C9" s="64" t="str">
        <x:v>1.º Guadalajara</x:v>
      </x:c>
      <x:c r="D9" s="64" t="str">
        <x:v>20–21 feb 2027</x:v>
      </x:c>
      <x:c r="E9" s="64" t="str">
        <x:v>27–28 feb 2027</x:v>
      </x:c>
      <x:c r="F9" s="64" t="str"/>
      <x:c r="G9" s="64" t="str"/>
      <x:c r="H9" s="64" t="str"/>
      <x:c r="I9" s="64" t="str"/>
      <x:c r="J9" s="41" t="str">
        <x:f>IF(C9="DESCANSA","Descanso",IF(AND(ISNUMBER(H9),ISNUMBER(I9)),"Jugado","Pendiente"))</x:f>
        <x:v>Pendiente</x:v>
      </x:c>
      <x:c r="L9" s="36" t="str">
        <x:v>2.º Madrid</x:v>
      </x:c>
      <x:c r="M9" s="165" t="n">
        <x:f>COUNTIFS($B$5:$B$32,L9,$J$5:$J$32,"Jugado")+COUNTIFS($C$5:$C$32,L9,$J$5:$J$32,"Jugado")</x:f>
        <x:v>0</x:v>
      </x:c>
      <x:c r="N9" s="165" t="n">
        <x:f>SUMPRODUCT(($B$5:$B$32=L9)*($J$5:$J$32="Jugado")*($H$5:$H$32&gt;$I$5:$I$32))+SUMPRODUCT(($C$5:$C$32=L9)*($J$5:$J$32="Jugado")*($I$5:$I$32&gt;$H$5:$H$32))</x:f>
        <x:v>0</x:v>
      </x:c>
      <x:c r="O9" s="165" t="n">
        <x:f>SUMPRODUCT(($J$5:$J$32="Jugado")*(($B$5:$B$32=L9)+($C$5:$C$32=L9))*($H$5:$H$32=$I$5:$I$32))</x:f>
        <x:v>0</x:v>
      </x:c>
      <x:c r="P9" s="165" t="n">
        <x:f>M9-N9-O9</x:f>
        <x:v>0</x:v>
      </x:c>
      <x:c r="Q9" s="165" t="n">
        <x:f>SUMIFS($H$5:$H$32,$B$5:$B$32,L9,$J$5:$J$32,"Jugado")+SUMIFS($I$5:$I$32,$C$5:$C$32,L9,$J$5:$J$32,"Jugado")</x:f>
        <x:v>0</x:v>
      </x:c>
      <x:c r="R9" s="165" t="n">
        <x:f>SUMIFS($I$5:$I$32,$B$5:$B$32,L9,$J$5:$J$32,"Jugado")+SUMIFS($H$5:$H$32,$C$5:$C$32,L9,$J$5:$J$32,"Jugado")</x:f>
        <x:v>0</x:v>
      </x:c>
      <x:c r="S9" s="165" t="n">
        <x:f>Q9-R9</x:f>
        <x:v>0</x:v>
      </x:c>
      <x:c r="T9" s="165" t="n">
        <x:f>N9*3+O9</x:f>
        <x:v>0</x:v>
      </x:c>
      <x:c r="U9" s="27" t="n">
        <x:f>1+SUMPRODUCT(($T$5:$T$11&gt;T9)+($T$5:$T$11=T9)*($S$5:$S$11&gt;S9))</x:f>
        <x:v>1</x:v>
      </x:c>
    </x:row>
    <x:row r="10">
      <x:c r="A10" s="40" t="n">
        <x:v>9</x:v>
      </x:c>
      <x:c r="B10" s="64" t="str">
        <x:v>3.º Madrid</x:v>
      </x:c>
      <x:c r="C10" s="64" t="str">
        <x:v>DESCANSA</x:v>
      </x:c>
      <x:c r="D10" s="64" t="str">
        <x:v>20–21 feb 2027</x:v>
      </x:c>
      <x:c r="E10" s="64" t="str">
        <x:v>27–28 feb 2027</x:v>
      </x:c>
      <x:c r="F10" s="64" t="str"/>
      <x:c r="G10" s="64" t="str"/>
      <x:c r="H10" s="64" t="str"/>
      <x:c r="I10" s="64" t="str"/>
      <x:c r="J10" s="41" t="str">
        <x:f>IF(C10="DESCANSA","Descanso",IF(AND(ISNUMBER(H10),ISNUMBER(I10)),"Jugado","Pendiente"))</x:f>
        <x:v>Descanso</x:v>
      </x:c>
      <x:c r="L10" s="36" t="str">
        <x:v>3.º Madrid</x:v>
      </x:c>
      <x:c r="M10" s="165" t="n">
        <x:f>COUNTIFS($B$5:$B$32,L10,$J$5:$J$32,"Jugado")+COUNTIFS($C$5:$C$32,L10,$J$5:$J$32,"Jugado")</x:f>
        <x:v>0</x:v>
      </x:c>
      <x:c r="N10" s="165" t="n">
        <x:f>SUMPRODUCT(($B$5:$B$32=L10)*($J$5:$J$32="Jugado")*($H$5:$H$32&gt;$I$5:$I$32))+SUMPRODUCT(($C$5:$C$32=L10)*($J$5:$J$32="Jugado")*($I$5:$I$32&gt;$H$5:$H$32))</x:f>
        <x:v>0</x:v>
      </x:c>
      <x:c r="O10" s="165" t="n">
        <x:f>SUMPRODUCT(($J$5:$J$32="Jugado")*(($B$5:$B$32=L10)+($C$5:$C$32=L10))*($H$5:$H$32=$I$5:$I$32))</x:f>
        <x:v>0</x:v>
      </x:c>
      <x:c r="P10" s="165" t="n">
        <x:f>M10-N10-O10</x:f>
        <x:v>0</x:v>
      </x:c>
      <x:c r="Q10" s="165" t="n">
        <x:f>SUMIFS($H$5:$H$32,$B$5:$B$32,L10,$J$5:$J$32,"Jugado")+SUMIFS($I$5:$I$32,$C$5:$C$32,L10,$J$5:$J$32,"Jugado")</x:f>
        <x:v>0</x:v>
      </x:c>
      <x:c r="R10" s="165" t="n">
        <x:f>SUMIFS($I$5:$I$32,$B$5:$B$32,L10,$J$5:$J$32,"Jugado")+SUMIFS($H$5:$H$32,$C$5:$C$32,L10,$J$5:$J$32,"Jugado")</x:f>
        <x:v>0</x:v>
      </x:c>
      <x:c r="S10" s="165" t="n">
        <x:f>Q10-R10</x:f>
        <x:v>0</x:v>
      </x:c>
      <x:c r="T10" s="165" t="n">
        <x:f>N10*3+O10</x:f>
        <x:v>0</x:v>
      </x:c>
      <x:c r="U10" s="27" t="n">
        <x:f>1+SUMPRODUCT(($T$5:$T$11&gt;T10)+($T$5:$T$11=T10)*($S$5:$S$11&gt;S10))</x:f>
        <x:v>1</x:v>
      </x:c>
    </x:row>
    <x:row r="11">
      <x:c r="A11" s="40" t="n">
        <x:v>9</x:v>
      </x:c>
      <x:c r="B11" s="64" t="str">
        <x:v>2.º Madrid</x:v>
      </x:c>
      <x:c r="C11" s="64" t="str">
        <x:v>2.º Guadalajara</x:v>
      </x:c>
      <x:c r="D11" s="64" t="str">
        <x:v>20–21 feb 2027</x:v>
      </x:c>
      <x:c r="E11" s="64" t="str">
        <x:v>27–28 feb 2027</x:v>
      </x:c>
      <x:c r="F11" s="64" t="str"/>
      <x:c r="G11" s="64" t="str"/>
      <x:c r="H11" s="64" t="str"/>
      <x:c r="I11" s="64" t="str"/>
      <x:c r="J11" s="41" t="str">
        <x:f>IF(C11="DESCANSA","Descanso",IF(AND(ISNUMBER(H11),ISNUMBER(I11)),"Jugado","Pendiente"))</x:f>
        <x:v>Pendiente</x:v>
      </x:c>
      <x:c r="L11" s="37" t="str">
        <x:v>Mejor 4.º</x:v>
      </x:c>
      <x:c r="M11" s="166" t="n">
        <x:f>COUNTIFS($B$5:$B$32,L11,$J$5:$J$32,"Jugado")+COUNTIFS($C$5:$C$32,L11,$J$5:$J$32,"Jugado")</x:f>
        <x:v>0</x:v>
      </x:c>
      <x:c r="N11" s="166" t="n">
        <x:f>SUMPRODUCT(($B$5:$B$32=L11)*($J$5:$J$32="Jugado")*($H$5:$H$32&gt;$I$5:$I$32))+SUMPRODUCT(($C$5:$C$32=L11)*($J$5:$J$32="Jugado")*($I$5:$I$32&gt;$H$5:$H$32))</x:f>
        <x:v>0</x:v>
      </x:c>
      <x:c r="O11" s="166" t="n">
        <x:f>SUMPRODUCT(($J$5:$J$32="Jugado")*(($B$5:$B$32=L11)+($C$5:$C$32=L11))*($H$5:$H$32=$I$5:$I$32))</x:f>
        <x:v>0</x:v>
      </x:c>
      <x:c r="P11" s="166" t="n">
        <x:f>M11-N11-O11</x:f>
        <x:v>0</x:v>
      </x:c>
      <x:c r="Q11" s="166" t="n">
        <x:f>SUMIFS($H$5:$H$32,$B$5:$B$32,L11,$J$5:$J$32,"Jugado")+SUMIFS($I$5:$I$32,$C$5:$C$32,L11,$J$5:$J$32,"Jugado")</x:f>
        <x:v>0</x:v>
      </x:c>
      <x:c r="R11" s="166" t="n">
        <x:f>SUMIFS($I$5:$I$32,$B$5:$B$32,L11,$J$5:$J$32,"Jugado")+SUMIFS($H$5:$H$32,$C$5:$C$32,L11,$J$5:$J$32,"Jugado")</x:f>
        <x:v>0</x:v>
      </x:c>
      <x:c r="S11" s="166" t="n">
        <x:f>Q11-R11</x:f>
        <x:v>0</x:v>
      </x:c>
      <x:c r="T11" s="166" t="n">
        <x:f>N11*3+O11</x:f>
        <x:v>0</x:v>
      </x:c>
      <x:c r="U11" s="29" t="n">
        <x:f>1+SUMPRODUCT(($T$5:$T$11&gt;T11)+($T$5:$T$11=T11)*($S$5:$S$11&gt;S11))</x:f>
        <x:v>1</x:v>
      </x:c>
    </x:row>
    <x:row r="12">
      <x:c r="A12" s="40" t="n">
        <x:v>9</x:v>
      </x:c>
      <x:c r="B12" s="64" t="str">
        <x:v>3.º Guadalajara</x:v>
      </x:c>
      <x:c r="C12" s="64" t="str">
        <x:v>1.º Madrid</x:v>
      </x:c>
      <x:c r="D12" s="64" t="str">
        <x:v>20–21 feb 2027</x:v>
      </x:c>
      <x:c r="E12" s="64" t="str">
        <x:v>27–28 feb 2027</x:v>
      </x:c>
      <x:c r="F12" s="64" t="str"/>
      <x:c r="G12" s="64" t="str"/>
      <x:c r="H12" s="64" t="str"/>
      <x:c r="I12" s="64" t="str"/>
      <x:c r="J12" s="41" t="str">
        <x:f>IF(C12="DESCANSA","Descanso",IF(AND(ISNUMBER(H12),ISNUMBER(I12)),"Jugado","Pendiente"))</x:f>
        <x:v>Pendiente</x:v>
      </x:c>
    </x:row>
    <x:row r="13">
      <x:c r="A13" s="40" t="n">
        <x:v>10</x:v>
      </x:c>
      <x:c r="B13" s="64" t="str">
        <x:v>1.º Guadalajara</x:v>
      </x:c>
      <x:c r="C13" s="64" t="str">
        <x:v>3.º Madrid</x:v>
      </x:c>
      <x:c r="D13" s="64" t="str">
        <x:v>6–7 mar 2027</x:v>
      </x:c>
      <x:c r="E13" s="64" t="str">
        <x:v>—</x:v>
      </x:c>
      <x:c r="F13" s="64" t="str"/>
      <x:c r="G13" s="64" t="str"/>
      <x:c r="H13" s="64" t="str"/>
      <x:c r="I13" s="64" t="str"/>
      <x:c r="J13" s="41" t="str">
        <x:f>IF(C13="DESCANSA","Descanso",IF(AND(ISNUMBER(H13),ISNUMBER(I13)),"Jugado","Pendiente"))</x:f>
        <x:v>Pendiente</x:v>
      </x:c>
    </x:row>
    <x:row r="14">
      <x:c r="A14" s="40" t="n">
        <x:v>10</x:v>
      </x:c>
      <x:c r="B14" s="64" t="str">
        <x:v>2.º Madrid</x:v>
      </x:c>
      <x:c r="C14" s="64" t="str">
        <x:v>Mejor 4.º</x:v>
      </x:c>
      <x:c r="D14" s="64" t="str">
        <x:v>6–7 mar 2027</x:v>
      </x:c>
      <x:c r="E14" s="64" t="str">
        <x:v>—</x:v>
      </x:c>
      <x:c r="F14" s="64" t="str"/>
      <x:c r="G14" s="64" t="str"/>
      <x:c r="H14" s="64" t="str"/>
      <x:c r="I14" s="64" t="str"/>
      <x:c r="J14" s="41" t="str">
        <x:f>IF(C14="DESCANSA","Descanso",IF(AND(ISNUMBER(H14),ISNUMBER(I14)),"Jugado","Pendiente"))</x:f>
        <x:v>Pendiente</x:v>
      </x:c>
      <x:c r="L14" s="86" t="str">
        <x:v>Los participantes de esta hoja se expresan por posición. Al finalizar la primera fase se sustituirán por los equipos clasificados. Cada equipo jugará 6 partidos y tendrá una jornada de descanso.</x:v>
      </x:c>
      <x:c r="M14" s="86"/>
      <x:c r="N14" s="86"/>
      <x:c r="O14" s="86"/>
      <x:c r="P14" s="86"/>
      <x:c r="Q14" s="86"/>
      <x:c r="R14" s="86"/>
      <x:c r="S14" s="86"/>
      <x:c r="T14" s="86"/>
      <x:c r="U14" s="86"/>
    </x:row>
    <x:row r="15">
      <x:c r="A15" s="40" t="n">
        <x:v>10</x:v>
      </x:c>
      <x:c r="B15" s="64" t="str">
        <x:v>1.º Madrid</x:v>
      </x:c>
      <x:c r="C15" s="64" t="str">
        <x:v>DESCANSA</x:v>
      </x:c>
      <x:c r="D15" s="64" t="str">
        <x:v>6–7 mar 2027</x:v>
      </x:c>
      <x:c r="E15" s="64" t="str">
        <x:v>—</x:v>
      </x:c>
      <x:c r="F15" s="64" t="str"/>
      <x:c r="G15" s="64" t="str"/>
      <x:c r="H15" s="64" t="str"/>
      <x:c r="I15" s="64" t="str"/>
      <x:c r="J15" s="41" t="str">
        <x:f>IF(C15="DESCANSA","Descanso",IF(AND(ISNUMBER(H15),ISNUMBER(I15)),"Jugado","Pendiente"))</x:f>
        <x:v>Descanso</x:v>
      </x:c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</x:row>
    <x:row r="16">
      <x:c r="A16" s="40" t="n">
        <x:v>10</x:v>
      </x:c>
      <x:c r="B16" s="64" t="str">
        <x:v>3.º Guadalajara</x:v>
      </x:c>
      <x:c r="C16" s="64" t="str">
        <x:v>2.º Guadalajara</x:v>
      </x:c>
      <x:c r="D16" s="64" t="str">
        <x:v>6–7 mar 2027</x:v>
      </x:c>
      <x:c r="E16" s="64" t="str">
        <x:v>—</x:v>
      </x:c>
      <x:c r="F16" s="64" t="str"/>
      <x:c r="G16" s="64" t="str"/>
      <x:c r="H16" s="64" t="str"/>
      <x:c r="I16" s="64" t="str"/>
      <x:c r="J16" s="41" t="str">
        <x:f>IF(C16="DESCANSA","Descanso",IF(AND(ISNUMBER(H16),ISNUMBER(I16)),"Jugado","Pendiente"))</x:f>
        <x:v>Pendiente</x:v>
      </x:c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</x:row>
    <x:row r="17">
      <x:c r="A17" s="40" t="n">
        <x:v>11</x:v>
      </x:c>
      <x:c r="B17" s="64" t="str">
        <x:v>2.º Madrid</x:v>
      </x:c>
      <x:c r="C17" s="64" t="str">
        <x:v>1.º Guadalajara</x:v>
      </x:c>
      <x:c r="D17" s="64" t="str">
        <x:v>13–14 mar 2027</x:v>
      </x:c>
      <x:c r="E17" s="64" t="str">
        <x:v>20–21 mar 2027</x:v>
      </x:c>
      <x:c r="F17" s="64" t="str"/>
      <x:c r="G17" s="64" t="str"/>
      <x:c r="H17" s="64" t="str"/>
      <x:c r="I17" s="64" t="str"/>
      <x:c r="J17" s="41" t="str">
        <x:f>IF(C17="DESCANSA","Descanso",IF(AND(ISNUMBER(H17),ISNUMBER(I17)),"Jugado","Pendiente"))</x:f>
        <x:v>Pendiente</x:v>
      </x:c>
    </x:row>
    <x:row r="18">
      <x:c r="A18" s="40" t="n">
        <x:v>11</x:v>
      </x:c>
      <x:c r="B18" s="64" t="str">
        <x:v>3.º Madrid</x:v>
      </x:c>
      <x:c r="C18" s="64" t="str">
        <x:v>1.º Madrid</x:v>
      </x:c>
      <x:c r="D18" s="64" t="str">
        <x:v>13–14 mar 2027</x:v>
      </x:c>
      <x:c r="E18" s="64" t="str">
        <x:v>20–21 mar 2027</x:v>
      </x:c>
      <x:c r="F18" s="64" t="str"/>
      <x:c r="G18" s="64" t="str"/>
      <x:c r="H18" s="64" t="str"/>
      <x:c r="I18" s="64" t="str"/>
      <x:c r="J18" s="41" t="str">
        <x:f>IF(C18="DESCANSA","Descanso",IF(AND(ISNUMBER(H18),ISNUMBER(I18)),"Jugado","Pendiente"))</x:f>
        <x:v>Pendiente</x:v>
      </x:c>
    </x:row>
    <x:row r="19">
      <x:c r="A19" s="40" t="n">
        <x:v>11</x:v>
      </x:c>
      <x:c r="B19" s="64" t="str">
        <x:v>3.º Guadalajara</x:v>
      </x:c>
      <x:c r="C19" s="64" t="str">
        <x:v>Mejor 4.º</x:v>
      </x:c>
      <x:c r="D19" s="64" t="str">
        <x:v>13–14 mar 2027</x:v>
      </x:c>
      <x:c r="E19" s="64" t="str">
        <x:v>20–21 mar 2027</x:v>
      </x:c>
      <x:c r="F19" s="64" t="str"/>
      <x:c r="G19" s="64" t="str"/>
      <x:c r="H19" s="64" t="str"/>
      <x:c r="I19" s="64" t="str"/>
      <x:c r="J19" s="41" t="str">
        <x:f>IF(C19="DESCANSA","Descanso",IF(AND(ISNUMBER(H19),ISNUMBER(I19)),"Jugado","Pendiente"))</x:f>
        <x:v>Pendiente</x:v>
      </x:c>
    </x:row>
    <x:row r="20">
      <x:c r="A20" s="40" t="n">
        <x:v>11</x:v>
      </x:c>
      <x:c r="B20" s="64" t="str">
        <x:v>2.º Guadalajara</x:v>
      </x:c>
      <x:c r="C20" s="64" t="str">
        <x:v>DESCANSA</x:v>
      </x:c>
      <x:c r="D20" s="64" t="str">
        <x:v>13–14 mar 2027</x:v>
      </x:c>
      <x:c r="E20" s="64" t="str">
        <x:v>20–21 mar 2027</x:v>
      </x:c>
      <x:c r="F20" s="64" t="str"/>
      <x:c r="G20" s="64" t="str"/>
      <x:c r="H20" s="64" t="str"/>
      <x:c r="I20" s="64" t="str"/>
      <x:c r="J20" s="41" t="str">
        <x:f>IF(C20="DESCANSA","Descanso",IF(AND(ISNUMBER(H20),ISNUMBER(I20)),"Jugado","Pendiente"))</x:f>
        <x:v>Descanso</x:v>
      </x:c>
    </x:row>
    <x:row r="21">
      <x:c r="A21" s="40" t="n">
        <x:v>12</x:v>
      </x:c>
      <x:c r="B21" s="64" t="str">
        <x:v>1.º Guadalajara</x:v>
      </x:c>
      <x:c r="C21" s="64" t="str">
        <x:v>1.º Madrid</x:v>
      </x:c>
      <x:c r="D21" s="64" t="str">
        <x:v>3–4 abr 2027</x:v>
      </x:c>
      <x:c r="E21" s="64" t="str">
        <x:v>10–11 abr 2027</x:v>
      </x:c>
      <x:c r="F21" s="64" t="str"/>
      <x:c r="G21" s="64" t="str"/>
      <x:c r="H21" s="64" t="str"/>
      <x:c r="I21" s="64" t="str"/>
      <x:c r="J21" s="41" t="str">
        <x:f>IF(C21="DESCANSA","Descanso",IF(AND(ISNUMBER(H21),ISNUMBER(I21)),"Jugado","Pendiente"))</x:f>
        <x:v>Pendiente</x:v>
      </x:c>
    </x:row>
    <x:row r="22">
      <x:c r="A22" s="40" t="n">
        <x:v>12</x:v>
      </x:c>
      <x:c r="B22" s="64" t="str">
        <x:v>3.º Guadalajara</x:v>
      </x:c>
      <x:c r="C22" s="64" t="str">
        <x:v>2.º Madrid</x:v>
      </x:c>
      <x:c r="D22" s="64" t="str">
        <x:v>3–4 abr 2027</x:v>
      </x:c>
      <x:c r="E22" s="64" t="str">
        <x:v>10–11 abr 2027</x:v>
      </x:c>
      <x:c r="F22" s="64" t="str"/>
      <x:c r="G22" s="64" t="str"/>
      <x:c r="H22" s="64" t="str"/>
      <x:c r="I22" s="64" t="str"/>
      <x:c r="J22" s="41" t="str">
        <x:f>IF(C22="DESCANSA","Descanso",IF(AND(ISNUMBER(H22),ISNUMBER(I22)),"Jugado","Pendiente"))</x:f>
        <x:v>Pendiente</x:v>
      </x:c>
    </x:row>
    <x:row r="23">
      <x:c r="A23" s="40" t="n">
        <x:v>12</x:v>
      </x:c>
      <x:c r="B23" s="64" t="str">
        <x:v>3.º Madrid</x:v>
      </x:c>
      <x:c r="C23" s="64" t="str">
        <x:v>2.º Guadalajara</x:v>
      </x:c>
      <x:c r="D23" s="64" t="str">
        <x:v>3–4 abr 2027</x:v>
      </x:c>
      <x:c r="E23" s="64" t="str">
        <x:v>10–11 abr 2027</x:v>
      </x:c>
      <x:c r="F23" s="64" t="str"/>
      <x:c r="G23" s="64" t="str"/>
      <x:c r="H23" s="64" t="str"/>
      <x:c r="I23" s="64" t="str"/>
      <x:c r="J23" s="41" t="str">
        <x:f>IF(C23="DESCANSA","Descanso",IF(AND(ISNUMBER(H23),ISNUMBER(I23)),"Jugado","Pendiente"))</x:f>
        <x:v>Pendiente</x:v>
      </x:c>
    </x:row>
    <x:row r="24">
      <x:c r="A24" s="40" t="n">
        <x:v>12</x:v>
      </x:c>
      <x:c r="B24" s="64" t="str">
        <x:v>Mejor 4.º</x:v>
      </x:c>
      <x:c r="C24" s="64" t="str">
        <x:v>DESCANSA</x:v>
      </x:c>
      <x:c r="D24" s="64" t="str">
        <x:v>3–4 abr 2027</x:v>
      </x:c>
      <x:c r="E24" s="64" t="str">
        <x:v>10–11 abr 2027</x:v>
      </x:c>
      <x:c r="F24" s="64" t="str"/>
      <x:c r="G24" s="64" t="str"/>
      <x:c r="H24" s="64" t="str"/>
      <x:c r="I24" s="64" t="str"/>
      <x:c r="J24" s="41" t="str">
        <x:f>IF(C24="DESCANSA","Descanso",IF(AND(ISNUMBER(H24),ISNUMBER(I24)),"Jugado","Pendiente"))</x:f>
        <x:v>Descanso</x:v>
      </x:c>
    </x:row>
    <x:row r="25">
      <x:c r="A25" s="40" t="n">
        <x:v>13</x:v>
      </x:c>
      <x:c r="B25" s="64" t="str">
        <x:v>3.º Guadalajara</x:v>
      </x:c>
      <x:c r="C25" s="64" t="str">
        <x:v>1.º Guadalajara</x:v>
      </x:c>
      <x:c r="D25" s="64" t="str">
        <x:v>17–18 abr 2027</x:v>
      </x:c>
      <x:c r="E25" s="64" t="str">
        <x:v>24–25 abr 2027</x:v>
      </x:c>
      <x:c r="F25" s="64" t="str"/>
      <x:c r="G25" s="64" t="str"/>
      <x:c r="H25" s="64" t="str"/>
      <x:c r="I25" s="64" t="str"/>
      <x:c r="J25" s="41" t="str">
        <x:f>IF(C25="DESCANSA","Descanso",IF(AND(ISNUMBER(H25),ISNUMBER(I25)),"Jugado","Pendiente"))</x:f>
        <x:v>Pendiente</x:v>
      </x:c>
    </x:row>
    <x:row r="26">
      <x:c r="A26" s="40" t="n">
        <x:v>13</x:v>
      </x:c>
      <x:c r="B26" s="64" t="str">
        <x:v>1.º Madrid</x:v>
      </x:c>
      <x:c r="C26" s="64" t="str">
        <x:v>2.º Guadalajara</x:v>
      </x:c>
      <x:c r="D26" s="64" t="str">
        <x:v>17–18 abr 2027</x:v>
      </x:c>
      <x:c r="E26" s="64" t="str">
        <x:v>24–25 abr 2027</x:v>
      </x:c>
      <x:c r="F26" s="64" t="str"/>
      <x:c r="G26" s="64" t="str"/>
      <x:c r="H26" s="64" t="str"/>
      <x:c r="I26" s="64" t="str"/>
      <x:c r="J26" s="41" t="str">
        <x:f>IF(C26="DESCANSA","Descanso",IF(AND(ISNUMBER(H26),ISNUMBER(I26)),"Jugado","Pendiente"))</x:f>
        <x:v>Pendiente</x:v>
      </x:c>
    </x:row>
    <x:row r="27">
      <x:c r="A27" s="40" t="n">
        <x:v>13</x:v>
      </x:c>
      <x:c r="B27" s="64" t="str">
        <x:v>2.º Madrid</x:v>
      </x:c>
      <x:c r="C27" s="64" t="str">
        <x:v>DESCANSA</x:v>
      </x:c>
      <x:c r="D27" s="64" t="str">
        <x:v>17–18 abr 2027</x:v>
      </x:c>
      <x:c r="E27" s="64" t="str">
        <x:v>24–25 abr 2027</x:v>
      </x:c>
      <x:c r="F27" s="64" t="str"/>
      <x:c r="G27" s="64" t="str"/>
      <x:c r="H27" s="64" t="str"/>
      <x:c r="I27" s="64" t="str"/>
      <x:c r="J27" s="41" t="str">
        <x:f>IF(C27="DESCANSA","Descanso",IF(AND(ISNUMBER(H27),ISNUMBER(I27)),"Jugado","Pendiente"))</x:f>
        <x:v>Descanso</x:v>
      </x:c>
    </x:row>
    <x:row r="28">
      <x:c r="A28" s="40" t="n">
        <x:v>13</x:v>
      </x:c>
      <x:c r="B28" s="64" t="str">
        <x:v>3.º Madrid</x:v>
      </x:c>
      <x:c r="C28" s="64" t="str">
        <x:v>Mejor 4.º</x:v>
      </x:c>
      <x:c r="D28" s="64" t="str">
        <x:v>17–18 abr 2027</x:v>
      </x:c>
      <x:c r="E28" s="64" t="str">
        <x:v>24–25 abr 2027</x:v>
      </x:c>
      <x:c r="F28" s="64" t="str"/>
      <x:c r="G28" s="64" t="str"/>
      <x:c r="H28" s="64" t="str"/>
      <x:c r="I28" s="64" t="str"/>
      <x:c r="J28" s="41" t="str">
        <x:f>IF(C28="DESCANSA","Descanso",IF(AND(ISNUMBER(H28),ISNUMBER(I28)),"Jugado","Pendiente"))</x:f>
        <x:v>Pendiente</x:v>
      </x:c>
    </x:row>
    <x:row r="29">
      <x:c r="A29" s="40" t="n">
        <x:v>14</x:v>
      </x:c>
      <x:c r="B29" s="64" t="str">
        <x:v>1.º Guadalajara</x:v>
      </x:c>
      <x:c r="C29" s="64" t="str">
        <x:v>2.º Guadalajara</x:v>
      </x:c>
      <x:c r="D29" s="64" t="str">
        <x:v>8–9 may 2027</x:v>
      </x:c>
      <x:c r="E29" s="64" t="str">
        <x:v>15–16 may 2027</x:v>
      </x:c>
      <x:c r="F29" s="64" t="str"/>
      <x:c r="G29" s="64" t="str"/>
      <x:c r="H29" s="64" t="str"/>
      <x:c r="I29" s="64" t="str"/>
      <x:c r="J29" s="41" t="str">
        <x:f>IF(C29="DESCANSA","Descanso",IF(AND(ISNUMBER(H29),ISNUMBER(I29)),"Jugado","Pendiente"))</x:f>
        <x:v>Pendiente</x:v>
      </x:c>
    </x:row>
    <x:row r="30">
      <x:c r="A30" s="40" t="n">
        <x:v>14</x:v>
      </x:c>
      <x:c r="B30" s="64" t="str">
        <x:v>3.º Guadalajara</x:v>
      </x:c>
      <x:c r="C30" s="64" t="str">
        <x:v>DESCANSA</x:v>
      </x:c>
      <x:c r="D30" s="64" t="str">
        <x:v>8–9 may 2027</x:v>
      </x:c>
      <x:c r="E30" s="64" t="str">
        <x:v>15–16 may 2027</x:v>
      </x:c>
      <x:c r="F30" s="64" t="str"/>
      <x:c r="G30" s="64" t="str"/>
      <x:c r="H30" s="64" t="str"/>
      <x:c r="I30" s="64" t="str"/>
      <x:c r="J30" s="41" t="str">
        <x:f>IF(C30="DESCANSA","Descanso",IF(AND(ISNUMBER(H30),ISNUMBER(I30)),"Jugado","Pendiente"))</x:f>
        <x:v>Descanso</x:v>
      </x:c>
    </x:row>
    <x:row r="31">
      <x:c r="A31" s="40" t="n">
        <x:v>14</x:v>
      </x:c>
      <x:c r="B31" s="64" t="str">
        <x:v>1.º Madrid</x:v>
      </x:c>
      <x:c r="C31" s="64" t="str">
        <x:v>Mejor 4.º</x:v>
      </x:c>
      <x:c r="D31" s="64" t="str">
        <x:v>8–9 may 2027</x:v>
      </x:c>
      <x:c r="E31" s="64" t="str">
        <x:v>15–16 may 2027</x:v>
      </x:c>
      <x:c r="F31" s="64" t="str"/>
      <x:c r="G31" s="64" t="str"/>
      <x:c r="H31" s="64" t="str"/>
      <x:c r="I31" s="64" t="str"/>
      <x:c r="J31" s="41" t="str">
        <x:f>IF(C31="DESCANSA","Descanso",IF(AND(ISNUMBER(H31),ISNUMBER(I31)),"Jugado","Pendiente"))</x:f>
        <x:v>Pendiente</x:v>
      </x:c>
    </x:row>
    <x:row r="32">
      <x:c r="A32" s="42" t="n">
        <x:v>14</x:v>
      </x:c>
      <x:c r="B32" s="75" t="str">
        <x:v>3.º Madrid</x:v>
      </x:c>
      <x:c r="C32" s="75" t="str">
        <x:v>2.º Madrid</x:v>
      </x:c>
      <x:c r="D32" s="75" t="str">
        <x:v>8–9 may 2027</x:v>
      </x:c>
      <x:c r="E32" s="75" t="str">
        <x:v>15–16 may 2027</x:v>
      </x:c>
      <x:c r="F32" s="75" t="str"/>
      <x:c r="G32" s="75" t="str"/>
      <x:c r="H32" s="75" t="str"/>
      <x:c r="I32" s="75" t="str"/>
      <x:c r="J32" s="43" t="str">
        <x:f>IF(C32="DESCANSA","Descanso",IF(AND(ISNUMBER(H32),ISNUMBER(I32)),"Jugado","Pendiente"))</x:f>
        <x:v>Pendiente</x:v>
      </x:c>
    </x:row>
  </x:sheetData>
  <x:mergeCells>
    <x:mergeCell ref="A1:J2"/>
    <x:mergeCell ref="L1:U2"/>
    <x:mergeCell ref="L14:U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19" hidden="0" customWidth="1"/>
    <x:col min="5" max="5" width="19" hidden="0" customWidth="1"/>
    <x:col min="6" max="6" width="16" hidden="0" customWidth="1"/>
    <x:col min="7" max="7" width="10" hidden="0" customWidth="1"/>
    <x:col min="8" max="8" width="9" hidden="0" customWidth="1"/>
    <x:col min="9" max="9" width="9" hidden="0" customWidth="1"/>
    <x:col min="10" max="10" width="13" hidden="0" customWidth="1"/>
    <x:col min="12" max="12" width="24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</x:cols>
  <x:sheetData>
    <x:row r="1">
      <x:c r="A1" s="5" t="str">
        <x:v>2.ª FASE · LIGA PLATA</x:v>
      </x:c>
      <x:c r="B1" s="5"/>
      <x:c r="C1" s="5"/>
      <x:c r="D1" s="5"/>
      <x:c r="E1" s="5"/>
      <x:c r="F1" s="5"/>
      <x:c r="G1" s="5"/>
      <x:c r="H1" s="5"/>
      <x:c r="I1" s="5"/>
      <x:c r="J1" s="5"/>
      <x:c r="L1" s="180" t="str">
        <x:v>CLASIFICACIÓN</x:v>
      </x:c>
      <x:c r="M1" s="180"/>
      <x:c r="N1" s="180"/>
      <x:c r="O1" s="180"/>
      <x:c r="P1" s="180"/>
      <x:c r="Q1" s="180"/>
      <x:c r="R1" s="180"/>
      <x:c r="S1" s="180"/>
      <x:c r="T1" s="180"/>
      <x:c r="U1" s="180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L2" s="180"/>
      <x:c r="M2" s="180"/>
      <x:c r="N2" s="180"/>
      <x:c r="O2" s="180"/>
      <x:c r="P2" s="180"/>
      <x:c r="Q2" s="180"/>
      <x:c r="R2" s="180"/>
      <x:c r="S2" s="180"/>
      <x:c r="T2" s="180"/>
      <x:c r="U2" s="180"/>
    </x:row>
    <x:row r="4">
      <x:c r="A4" s="14" t="str">
        <x:v>Jornada</x:v>
      </x:c>
      <x:c r="B4" s="14" t="str">
        <x:v>Local</x:v>
      </x:c>
      <x:c r="C4" s="14" t="str">
        <x:v>Visitante</x:v>
      </x:c>
      <x:c r="D4" s="14" t="str">
        <x:v>Ventana 1</x:v>
      </x:c>
      <x:c r="E4" s="14" t="str">
        <x:v>Ventana 2</x:v>
      </x:c>
      <x:c r="F4" s="14" t="str">
        <x:v>Fecha acordada</x:v>
      </x:c>
      <x:c r="G4" s="14" t="str">
        <x:v>Hora</x:v>
      </x:c>
      <x:c r="H4" s="14" t="str">
        <x:v>Goles L</x:v>
      </x:c>
      <x:c r="I4" s="14" t="str">
        <x:v>Goles V</x:v>
      </x:c>
      <x:c r="J4" s="14" t="str">
        <x:v>Estado</x:v>
      </x:c>
      <x:c r="L4" s="14" t="str">
        <x:v>Equipo/posición</x:v>
      </x:c>
      <x:c r="M4" s="14" t="str">
        <x:v>PJ</x:v>
      </x:c>
      <x:c r="N4" s="14" t="str">
        <x:v>PG</x:v>
      </x:c>
      <x:c r="O4" s="14" t="str">
        <x:v>PE</x:v>
      </x:c>
      <x:c r="P4" s="14" t="str">
        <x:v>PP</x:v>
      </x:c>
      <x:c r="Q4" s="14" t="str">
        <x:v>GF</x:v>
      </x:c>
      <x:c r="R4" s="14" t="str">
        <x:v>GC</x:v>
      </x:c>
      <x:c r="S4" s="14" t="str">
        <x:v>DG</x:v>
      </x:c>
      <x:c r="T4" s="14" t="str">
        <x:v>Pts</x:v>
      </x:c>
      <x:c r="U4" s="14" t="str">
        <x:v>Pos.</x:v>
      </x:c>
    </x:row>
    <x:row r="5">
      <x:c r="A5" s="90" t="n">
        <x:v>8</x:v>
      </x:c>
      <x:c r="B5" s="70" t="str">
        <x:v>5.º Guadalajara</x:v>
      </x:c>
      <x:c r="C5" s="70" t="str">
        <x:v>DESCANSA</x:v>
      </x:c>
      <x:c r="D5" s="70" t="str">
        <x:v>6–7 feb 2027</x:v>
      </x:c>
      <x:c r="E5" s="70" t="str">
        <x:v>13–14 feb 2027</x:v>
      </x:c>
      <x:c r="F5" s="70" t="str"/>
      <x:c r="G5" s="70" t="str"/>
      <x:c r="H5" s="70" t="str"/>
      <x:c r="I5" s="70" t="str"/>
      <x:c r="J5" s="71" t="str">
        <x:f>IF(C5="DESCANSA","Descanso",IF(AND(ISNUMBER(H5),ISNUMBER(I5)),"Jugado","Pendiente"))</x:f>
        <x:v>Descanso</x:v>
      </x:c>
      <x:c r="L5" s="162" t="str">
        <x:v>5.º Guadalajara</x:v>
      </x:c>
      <x:c r="M5" s="163" t="n">
        <x:f>COUNTIFS($B$5:$B$32,L5,$J$5:$J$32,"Jugado")+COUNTIFS($C$5:$C$32,L5,$J$5:$J$32,"Jugado")</x:f>
        <x:v>0</x:v>
      </x:c>
      <x:c r="N5" s="163" t="n">
        <x:f>SUMPRODUCT(($B$5:$B$32=L5)*($J$5:$J$32="Jugado")*($H$5:$H$32&gt;$I$5:$I$32))+SUMPRODUCT(($C$5:$C$32=L5)*($J$5:$J$32="Jugado")*($I$5:$I$32&gt;$H$5:$H$32))</x:f>
        <x:v>0</x:v>
      </x:c>
      <x:c r="O5" s="163" t="n">
        <x:f>SUMPRODUCT(($J$5:$J$32="Jugado")*(($B$5:$B$32=L5)+($C$5:$C$32=L5))*($H$5:$H$32=$I$5:$I$32))</x:f>
        <x:v>0</x:v>
      </x:c>
      <x:c r="P5" s="163" t="n">
        <x:f>M5-N5-O5</x:f>
        <x:v>0</x:v>
      </x:c>
      <x:c r="Q5" s="163" t="n">
        <x:f>SUMIFS($H$5:$H$32,$B$5:$B$32,L5,$J$5:$J$32,"Jugado")+SUMIFS($I$5:$I$32,$C$5:$C$32,L5,$J$5:$J$32,"Jugado")</x:f>
        <x:v>0</x:v>
      </x:c>
      <x:c r="R5" s="163" t="n">
        <x:f>SUMIFS($I$5:$I$32,$B$5:$B$32,L5,$J$5:$J$32,"Jugado")+SUMIFS($H$5:$H$32,$C$5:$C$32,L5,$J$5:$J$32,"Jugado")</x:f>
        <x:v>0</x:v>
      </x:c>
      <x:c r="S5" s="163" t="n">
        <x:f>Q5-R5</x:f>
        <x:v>0</x:v>
      </x:c>
      <x:c r="T5" s="163" t="n">
        <x:f>N5*3+O5</x:f>
        <x:v>0</x:v>
      </x:c>
      <x:c r="U5" s="164" t="n">
        <x:f>1+SUMPRODUCT(($T$5:$T$11&gt;T5)+($T$5:$T$11=T5)*($S$5:$S$11&gt;S5))</x:f>
        <x:v>1</x:v>
      </x:c>
    </x:row>
    <x:row r="6">
      <x:c r="A6" s="40" t="n">
        <x:v>8</x:v>
      </x:c>
      <x:c r="B6" s="64" t="str">
        <x:v>Otro 4.º</x:v>
      </x:c>
      <x:c r="C6" s="64" t="str">
        <x:v>6.º Guadalajara</x:v>
      </x:c>
      <x:c r="D6" s="64" t="str">
        <x:v>6–7 feb 2027</x:v>
      </x:c>
      <x:c r="E6" s="64" t="str">
        <x:v>13–14 feb 2027</x:v>
      </x:c>
      <x:c r="F6" s="64" t="str"/>
      <x:c r="G6" s="64" t="str"/>
      <x:c r="H6" s="64" t="str"/>
      <x:c r="I6" s="64" t="str"/>
      <x:c r="J6" s="41" t="str">
        <x:f>IF(C6="DESCANSA","Descanso",IF(AND(ISNUMBER(H6),ISNUMBER(I6)),"Jugado","Pendiente"))</x:f>
        <x:v>Pendiente</x:v>
      </x:c>
      <x:c r="L6" s="36" t="str">
        <x:v>6.º Guadalajara</x:v>
      </x:c>
      <x:c r="M6" s="165" t="n">
        <x:f>COUNTIFS($B$5:$B$32,L6,$J$5:$J$32,"Jugado")+COUNTIFS($C$5:$C$32,L6,$J$5:$J$32,"Jugado")</x:f>
        <x:v>0</x:v>
      </x:c>
      <x:c r="N6" s="165" t="n">
        <x:f>SUMPRODUCT(($B$5:$B$32=L6)*($J$5:$J$32="Jugado")*($H$5:$H$32&gt;$I$5:$I$32))+SUMPRODUCT(($C$5:$C$32=L6)*($J$5:$J$32="Jugado")*($I$5:$I$32&gt;$H$5:$H$32))</x:f>
        <x:v>0</x:v>
      </x:c>
      <x:c r="O6" s="165" t="n">
        <x:f>SUMPRODUCT(($J$5:$J$32="Jugado")*(($B$5:$B$32=L6)+($C$5:$C$32=L6))*($H$5:$H$32=$I$5:$I$32))</x:f>
        <x:v>0</x:v>
      </x:c>
      <x:c r="P6" s="165" t="n">
        <x:f>M6-N6-O6</x:f>
        <x:v>0</x:v>
      </x:c>
      <x:c r="Q6" s="165" t="n">
        <x:f>SUMIFS($H$5:$H$32,$B$5:$B$32,L6,$J$5:$J$32,"Jugado")+SUMIFS($I$5:$I$32,$C$5:$C$32,L6,$J$5:$J$32,"Jugado")</x:f>
        <x:v>0</x:v>
      </x:c>
      <x:c r="R6" s="165" t="n">
        <x:f>SUMIFS($I$5:$I$32,$B$5:$B$32,L6,$J$5:$J$32,"Jugado")+SUMIFS($H$5:$H$32,$C$5:$C$32,L6,$J$5:$J$32,"Jugado")</x:f>
        <x:v>0</x:v>
      </x:c>
      <x:c r="S6" s="165" t="n">
        <x:f>Q6-R6</x:f>
        <x:v>0</x:v>
      </x:c>
      <x:c r="T6" s="165" t="n">
        <x:f>N6*3+O6</x:f>
        <x:v>0</x:v>
      </x:c>
      <x:c r="U6" s="27" t="n">
        <x:f>1+SUMPRODUCT(($T$5:$T$11&gt;T6)+($T$5:$T$11=T6)*($S$5:$S$11&gt;S6))</x:f>
        <x:v>1</x:v>
      </x:c>
    </x:row>
    <x:row r="7">
      <x:c r="A7" s="40" t="n">
        <x:v>8</x:v>
      </x:c>
      <x:c r="B7" s="64" t="str">
        <x:v>7.º Guadalajara</x:v>
      </x:c>
      <x:c r="C7" s="64" t="str">
        <x:v>7.º Madrid</x:v>
      </x:c>
      <x:c r="D7" s="64" t="str">
        <x:v>6–7 feb 2027</x:v>
      </x:c>
      <x:c r="E7" s="64" t="str">
        <x:v>13–14 feb 2027</x:v>
      </x:c>
      <x:c r="F7" s="64" t="str"/>
      <x:c r="G7" s="64" t="str"/>
      <x:c r="H7" s="64" t="str"/>
      <x:c r="I7" s="64" t="str"/>
      <x:c r="J7" s="41" t="str">
        <x:f>IF(C7="DESCANSA","Descanso",IF(AND(ISNUMBER(H7),ISNUMBER(I7)),"Jugado","Pendiente"))</x:f>
        <x:v>Pendiente</x:v>
      </x:c>
      <x:c r="L7" s="36" t="str">
        <x:v>7.º Guadalajara</x:v>
      </x:c>
      <x:c r="M7" s="165" t="n">
        <x:f>COUNTIFS($B$5:$B$32,L7,$J$5:$J$32,"Jugado")+COUNTIFS($C$5:$C$32,L7,$J$5:$J$32,"Jugado")</x:f>
        <x:v>0</x:v>
      </x:c>
      <x:c r="N7" s="165" t="n">
        <x:f>SUMPRODUCT(($B$5:$B$32=L7)*($J$5:$J$32="Jugado")*($H$5:$H$32&gt;$I$5:$I$32))+SUMPRODUCT(($C$5:$C$32=L7)*($J$5:$J$32="Jugado")*($I$5:$I$32&gt;$H$5:$H$32))</x:f>
        <x:v>0</x:v>
      </x:c>
      <x:c r="O7" s="165" t="n">
        <x:f>SUMPRODUCT(($J$5:$J$32="Jugado")*(($B$5:$B$32=L7)+($C$5:$C$32=L7))*($H$5:$H$32=$I$5:$I$32))</x:f>
        <x:v>0</x:v>
      </x:c>
      <x:c r="P7" s="165" t="n">
        <x:f>M7-N7-O7</x:f>
        <x:v>0</x:v>
      </x:c>
      <x:c r="Q7" s="165" t="n">
        <x:f>SUMIFS($H$5:$H$32,$B$5:$B$32,L7,$J$5:$J$32,"Jugado")+SUMIFS($I$5:$I$32,$C$5:$C$32,L7,$J$5:$J$32,"Jugado")</x:f>
        <x:v>0</x:v>
      </x:c>
      <x:c r="R7" s="165" t="n">
        <x:f>SUMIFS($I$5:$I$32,$B$5:$B$32,L7,$J$5:$J$32,"Jugado")+SUMIFS($H$5:$H$32,$C$5:$C$32,L7,$J$5:$J$32,"Jugado")</x:f>
        <x:v>0</x:v>
      </x:c>
      <x:c r="S7" s="165" t="n">
        <x:f>Q7-R7</x:f>
        <x:v>0</x:v>
      </x:c>
      <x:c r="T7" s="165" t="n">
        <x:f>N7*3+O7</x:f>
        <x:v>0</x:v>
      </x:c>
      <x:c r="U7" s="27" t="n">
        <x:f>1+SUMPRODUCT(($T$5:$T$11&gt;T7)+($T$5:$T$11=T7)*($S$5:$S$11&gt;S7))</x:f>
        <x:v>1</x:v>
      </x:c>
    </x:row>
    <x:row r="8">
      <x:c r="A8" s="40" t="n">
        <x:v>8</x:v>
      </x:c>
      <x:c r="B8" s="64" t="str">
        <x:v>6.º Madrid</x:v>
      </x:c>
      <x:c r="C8" s="64" t="str">
        <x:v>5.º Madrid</x:v>
      </x:c>
      <x:c r="D8" s="64" t="str">
        <x:v>6–7 feb 2027</x:v>
      </x:c>
      <x:c r="E8" s="64" t="str">
        <x:v>13–14 feb 2027</x:v>
      </x:c>
      <x:c r="F8" s="64" t="str"/>
      <x:c r="G8" s="64" t="str"/>
      <x:c r="H8" s="64" t="str"/>
      <x:c r="I8" s="64" t="str"/>
      <x:c r="J8" s="41" t="str">
        <x:f>IF(C8="DESCANSA","Descanso",IF(AND(ISNUMBER(H8),ISNUMBER(I8)),"Jugado","Pendiente"))</x:f>
        <x:v>Pendiente</x:v>
      </x:c>
      <x:c r="L8" s="36" t="str">
        <x:v>5.º Madrid</x:v>
      </x:c>
      <x:c r="M8" s="165" t="n">
        <x:f>COUNTIFS($B$5:$B$32,L8,$J$5:$J$32,"Jugado")+COUNTIFS($C$5:$C$32,L8,$J$5:$J$32,"Jugado")</x:f>
        <x:v>0</x:v>
      </x:c>
      <x:c r="N8" s="165" t="n">
        <x:f>SUMPRODUCT(($B$5:$B$32=L8)*($J$5:$J$32="Jugado")*($H$5:$H$32&gt;$I$5:$I$32))+SUMPRODUCT(($C$5:$C$32=L8)*($J$5:$J$32="Jugado")*($I$5:$I$32&gt;$H$5:$H$32))</x:f>
        <x:v>0</x:v>
      </x:c>
      <x:c r="O8" s="165" t="n">
        <x:f>SUMPRODUCT(($J$5:$J$32="Jugado")*(($B$5:$B$32=L8)+($C$5:$C$32=L8))*($H$5:$H$32=$I$5:$I$32))</x:f>
        <x:v>0</x:v>
      </x:c>
      <x:c r="P8" s="165" t="n">
        <x:f>M8-N8-O8</x:f>
        <x:v>0</x:v>
      </x:c>
      <x:c r="Q8" s="165" t="n">
        <x:f>SUMIFS($H$5:$H$32,$B$5:$B$32,L8,$J$5:$J$32,"Jugado")+SUMIFS($I$5:$I$32,$C$5:$C$32,L8,$J$5:$J$32,"Jugado")</x:f>
        <x:v>0</x:v>
      </x:c>
      <x:c r="R8" s="165" t="n">
        <x:f>SUMIFS($I$5:$I$32,$B$5:$B$32,L8,$J$5:$J$32,"Jugado")+SUMIFS($H$5:$H$32,$C$5:$C$32,L8,$J$5:$J$32,"Jugado")</x:f>
        <x:v>0</x:v>
      </x:c>
      <x:c r="S8" s="165" t="n">
        <x:f>Q8-R8</x:f>
        <x:v>0</x:v>
      </x:c>
      <x:c r="T8" s="165" t="n">
        <x:f>N8*3+O8</x:f>
        <x:v>0</x:v>
      </x:c>
      <x:c r="U8" s="27" t="n">
        <x:f>1+SUMPRODUCT(($T$5:$T$11&gt;T8)+($T$5:$T$11=T8)*($S$5:$S$11&gt;S8))</x:f>
        <x:v>1</x:v>
      </x:c>
    </x:row>
    <x:row r="9">
      <x:c r="A9" s="40" t="n">
        <x:v>9</x:v>
      </x:c>
      <x:c r="B9" s="64" t="str">
        <x:v>Otro 4.º</x:v>
      </x:c>
      <x:c r="C9" s="64" t="str">
        <x:v>5.º Guadalajara</x:v>
      </x:c>
      <x:c r="D9" s="64" t="str">
        <x:v>20–21 feb 2027</x:v>
      </x:c>
      <x:c r="E9" s="64" t="str">
        <x:v>27–28 feb 2027</x:v>
      </x:c>
      <x:c r="F9" s="64" t="str"/>
      <x:c r="G9" s="64" t="str"/>
      <x:c r="H9" s="64" t="str"/>
      <x:c r="I9" s="64" t="str"/>
      <x:c r="J9" s="41" t="str">
        <x:f>IF(C9="DESCANSA","Descanso",IF(AND(ISNUMBER(H9),ISNUMBER(I9)),"Jugado","Pendiente"))</x:f>
        <x:v>Pendiente</x:v>
      </x:c>
      <x:c r="L9" s="36" t="str">
        <x:v>6.º Madrid</x:v>
      </x:c>
      <x:c r="M9" s="165" t="n">
        <x:f>COUNTIFS($B$5:$B$32,L9,$J$5:$J$32,"Jugado")+COUNTIFS($C$5:$C$32,L9,$J$5:$J$32,"Jugado")</x:f>
        <x:v>0</x:v>
      </x:c>
      <x:c r="N9" s="165" t="n">
        <x:f>SUMPRODUCT(($B$5:$B$32=L9)*($J$5:$J$32="Jugado")*($H$5:$H$32&gt;$I$5:$I$32))+SUMPRODUCT(($C$5:$C$32=L9)*($J$5:$J$32="Jugado")*($I$5:$I$32&gt;$H$5:$H$32))</x:f>
        <x:v>0</x:v>
      </x:c>
      <x:c r="O9" s="165" t="n">
        <x:f>SUMPRODUCT(($J$5:$J$32="Jugado")*(($B$5:$B$32=L9)+($C$5:$C$32=L9))*($H$5:$H$32=$I$5:$I$32))</x:f>
        <x:v>0</x:v>
      </x:c>
      <x:c r="P9" s="165" t="n">
        <x:f>M9-N9-O9</x:f>
        <x:v>0</x:v>
      </x:c>
      <x:c r="Q9" s="165" t="n">
        <x:f>SUMIFS($H$5:$H$32,$B$5:$B$32,L9,$J$5:$J$32,"Jugado")+SUMIFS($I$5:$I$32,$C$5:$C$32,L9,$J$5:$J$32,"Jugado")</x:f>
        <x:v>0</x:v>
      </x:c>
      <x:c r="R9" s="165" t="n">
        <x:f>SUMIFS($I$5:$I$32,$B$5:$B$32,L9,$J$5:$J$32,"Jugado")+SUMIFS($H$5:$H$32,$C$5:$C$32,L9,$J$5:$J$32,"Jugado")</x:f>
        <x:v>0</x:v>
      </x:c>
      <x:c r="S9" s="165" t="n">
        <x:f>Q9-R9</x:f>
        <x:v>0</x:v>
      </x:c>
      <x:c r="T9" s="165" t="n">
        <x:f>N9*3+O9</x:f>
        <x:v>0</x:v>
      </x:c>
      <x:c r="U9" s="27" t="n">
        <x:f>1+SUMPRODUCT(($T$5:$T$11&gt;T9)+($T$5:$T$11=T9)*($S$5:$S$11&gt;S9))</x:f>
        <x:v>1</x:v>
      </x:c>
    </x:row>
    <x:row r="10">
      <x:c r="A10" s="40" t="n">
        <x:v>9</x:v>
      </x:c>
      <x:c r="B10" s="64" t="str">
        <x:v>7.º Madrid</x:v>
      </x:c>
      <x:c r="C10" s="64" t="str">
        <x:v>DESCANSA</x:v>
      </x:c>
      <x:c r="D10" s="64" t="str">
        <x:v>20–21 feb 2027</x:v>
      </x:c>
      <x:c r="E10" s="64" t="str">
        <x:v>27–28 feb 2027</x:v>
      </x:c>
      <x:c r="F10" s="64" t="str"/>
      <x:c r="G10" s="64" t="str"/>
      <x:c r="H10" s="64" t="str"/>
      <x:c r="I10" s="64" t="str"/>
      <x:c r="J10" s="41" t="str">
        <x:f>IF(C10="DESCANSA","Descanso",IF(AND(ISNUMBER(H10),ISNUMBER(I10)),"Jugado","Pendiente"))</x:f>
        <x:v>Descanso</x:v>
      </x:c>
      <x:c r="L10" s="36" t="str">
        <x:v>7.º Madrid</x:v>
      </x:c>
      <x:c r="M10" s="165" t="n">
        <x:f>COUNTIFS($B$5:$B$32,L10,$J$5:$J$32,"Jugado")+COUNTIFS($C$5:$C$32,L10,$J$5:$J$32,"Jugado")</x:f>
        <x:v>0</x:v>
      </x:c>
      <x:c r="N10" s="165" t="n">
        <x:f>SUMPRODUCT(($B$5:$B$32=L10)*($J$5:$J$32="Jugado")*($H$5:$H$32&gt;$I$5:$I$32))+SUMPRODUCT(($C$5:$C$32=L10)*($J$5:$J$32="Jugado")*($I$5:$I$32&gt;$H$5:$H$32))</x:f>
        <x:v>0</x:v>
      </x:c>
      <x:c r="O10" s="165" t="n">
        <x:f>SUMPRODUCT(($J$5:$J$32="Jugado")*(($B$5:$B$32=L10)+($C$5:$C$32=L10))*($H$5:$H$32=$I$5:$I$32))</x:f>
        <x:v>0</x:v>
      </x:c>
      <x:c r="P10" s="165" t="n">
        <x:f>M10-N10-O10</x:f>
        <x:v>0</x:v>
      </x:c>
      <x:c r="Q10" s="165" t="n">
        <x:f>SUMIFS($H$5:$H$32,$B$5:$B$32,L10,$J$5:$J$32,"Jugado")+SUMIFS($I$5:$I$32,$C$5:$C$32,L10,$J$5:$J$32,"Jugado")</x:f>
        <x:v>0</x:v>
      </x:c>
      <x:c r="R10" s="165" t="n">
        <x:f>SUMIFS($I$5:$I$32,$B$5:$B$32,L10,$J$5:$J$32,"Jugado")+SUMIFS($H$5:$H$32,$C$5:$C$32,L10,$J$5:$J$32,"Jugado")</x:f>
        <x:v>0</x:v>
      </x:c>
      <x:c r="S10" s="165" t="n">
        <x:f>Q10-R10</x:f>
        <x:v>0</x:v>
      </x:c>
      <x:c r="T10" s="165" t="n">
        <x:f>N10*3+O10</x:f>
        <x:v>0</x:v>
      </x:c>
      <x:c r="U10" s="27" t="n">
        <x:f>1+SUMPRODUCT(($T$5:$T$11&gt;T10)+($T$5:$T$11=T10)*($S$5:$S$11&gt;S10))</x:f>
        <x:v>1</x:v>
      </x:c>
    </x:row>
    <x:row r="11">
      <x:c r="A11" s="40" t="n">
        <x:v>9</x:v>
      </x:c>
      <x:c r="B11" s="64" t="str">
        <x:v>6.º Madrid</x:v>
      </x:c>
      <x:c r="C11" s="64" t="str">
        <x:v>6.º Guadalajara</x:v>
      </x:c>
      <x:c r="D11" s="64" t="str">
        <x:v>20–21 feb 2027</x:v>
      </x:c>
      <x:c r="E11" s="64" t="str">
        <x:v>27–28 feb 2027</x:v>
      </x:c>
      <x:c r="F11" s="64" t="str"/>
      <x:c r="G11" s="64" t="str"/>
      <x:c r="H11" s="64" t="str"/>
      <x:c r="I11" s="64" t="str"/>
      <x:c r="J11" s="41" t="str">
        <x:f>IF(C11="DESCANSA","Descanso",IF(AND(ISNUMBER(H11),ISNUMBER(I11)),"Jugado","Pendiente"))</x:f>
        <x:v>Pendiente</x:v>
      </x:c>
      <x:c r="L11" s="37" t="str">
        <x:v>Otro 4.º</x:v>
      </x:c>
      <x:c r="M11" s="166" t="n">
        <x:f>COUNTIFS($B$5:$B$32,L11,$J$5:$J$32,"Jugado")+COUNTIFS($C$5:$C$32,L11,$J$5:$J$32,"Jugado")</x:f>
        <x:v>0</x:v>
      </x:c>
      <x:c r="N11" s="166" t="n">
        <x:f>SUMPRODUCT(($B$5:$B$32=L11)*($J$5:$J$32="Jugado")*($H$5:$H$32&gt;$I$5:$I$32))+SUMPRODUCT(($C$5:$C$32=L11)*($J$5:$J$32="Jugado")*($I$5:$I$32&gt;$H$5:$H$32))</x:f>
        <x:v>0</x:v>
      </x:c>
      <x:c r="O11" s="166" t="n">
        <x:f>SUMPRODUCT(($J$5:$J$32="Jugado")*(($B$5:$B$32=L11)+($C$5:$C$32=L11))*($H$5:$H$32=$I$5:$I$32))</x:f>
        <x:v>0</x:v>
      </x:c>
      <x:c r="P11" s="166" t="n">
        <x:f>M11-N11-O11</x:f>
        <x:v>0</x:v>
      </x:c>
      <x:c r="Q11" s="166" t="n">
        <x:f>SUMIFS($H$5:$H$32,$B$5:$B$32,L11,$J$5:$J$32,"Jugado")+SUMIFS($I$5:$I$32,$C$5:$C$32,L11,$J$5:$J$32,"Jugado")</x:f>
        <x:v>0</x:v>
      </x:c>
      <x:c r="R11" s="166" t="n">
        <x:f>SUMIFS($I$5:$I$32,$B$5:$B$32,L11,$J$5:$J$32,"Jugado")+SUMIFS($H$5:$H$32,$C$5:$C$32,L11,$J$5:$J$32,"Jugado")</x:f>
        <x:v>0</x:v>
      </x:c>
      <x:c r="S11" s="166" t="n">
        <x:f>Q11-R11</x:f>
        <x:v>0</x:v>
      </x:c>
      <x:c r="T11" s="166" t="n">
        <x:f>N11*3+O11</x:f>
        <x:v>0</x:v>
      </x:c>
      <x:c r="U11" s="29" t="n">
        <x:f>1+SUMPRODUCT(($T$5:$T$11&gt;T11)+($T$5:$T$11=T11)*($S$5:$S$11&gt;S11))</x:f>
        <x:v>1</x:v>
      </x:c>
    </x:row>
    <x:row r="12">
      <x:c r="A12" s="40" t="n">
        <x:v>9</x:v>
      </x:c>
      <x:c r="B12" s="64" t="str">
        <x:v>7.º Guadalajara</x:v>
      </x:c>
      <x:c r="C12" s="64" t="str">
        <x:v>5.º Madrid</x:v>
      </x:c>
      <x:c r="D12" s="64" t="str">
        <x:v>20–21 feb 2027</x:v>
      </x:c>
      <x:c r="E12" s="64" t="str">
        <x:v>27–28 feb 2027</x:v>
      </x:c>
      <x:c r="F12" s="64" t="str"/>
      <x:c r="G12" s="64" t="str"/>
      <x:c r="H12" s="64" t="str"/>
      <x:c r="I12" s="64" t="str"/>
      <x:c r="J12" s="41" t="str">
        <x:f>IF(C12="DESCANSA","Descanso",IF(AND(ISNUMBER(H12),ISNUMBER(I12)),"Jugado","Pendiente"))</x:f>
        <x:v>Pendiente</x:v>
      </x:c>
    </x:row>
    <x:row r="13">
      <x:c r="A13" s="40" t="n">
        <x:v>10</x:v>
      </x:c>
      <x:c r="B13" s="64" t="str">
        <x:v>5.º Guadalajara</x:v>
      </x:c>
      <x:c r="C13" s="64" t="str">
        <x:v>7.º Madrid</x:v>
      </x:c>
      <x:c r="D13" s="64" t="str">
        <x:v>6–7 mar 2027</x:v>
      </x:c>
      <x:c r="E13" s="64" t="str">
        <x:v>—</x:v>
      </x:c>
      <x:c r="F13" s="64" t="str"/>
      <x:c r="G13" s="64" t="str"/>
      <x:c r="H13" s="64" t="str"/>
      <x:c r="I13" s="64" t="str"/>
      <x:c r="J13" s="41" t="str">
        <x:f>IF(C13="DESCANSA","Descanso",IF(AND(ISNUMBER(H13),ISNUMBER(I13)),"Jugado","Pendiente"))</x:f>
        <x:v>Pendiente</x:v>
      </x:c>
    </x:row>
    <x:row r="14">
      <x:c r="A14" s="40" t="n">
        <x:v>10</x:v>
      </x:c>
      <x:c r="B14" s="64" t="str">
        <x:v>6.º Madrid</x:v>
      </x:c>
      <x:c r="C14" s="64" t="str">
        <x:v>Otro 4.º</x:v>
      </x:c>
      <x:c r="D14" s="64" t="str">
        <x:v>6–7 mar 2027</x:v>
      </x:c>
      <x:c r="E14" s="64" t="str">
        <x:v>—</x:v>
      </x:c>
      <x:c r="F14" s="64" t="str"/>
      <x:c r="G14" s="64" t="str"/>
      <x:c r="H14" s="64" t="str"/>
      <x:c r="I14" s="64" t="str"/>
      <x:c r="J14" s="41" t="str">
        <x:f>IF(C14="DESCANSA","Descanso",IF(AND(ISNUMBER(H14),ISNUMBER(I14)),"Jugado","Pendiente"))</x:f>
        <x:v>Pendiente</x:v>
      </x:c>
      <x:c r="L14" s="86" t="str">
        <x:v>Los participantes de esta hoja se expresan por posición. Al finalizar la primera fase se sustituirán por los equipos clasificados. Cada equipo jugará 6 partidos y tendrá una jornada de descanso.</x:v>
      </x:c>
      <x:c r="M14" s="86"/>
      <x:c r="N14" s="86"/>
      <x:c r="O14" s="86"/>
      <x:c r="P14" s="86"/>
      <x:c r="Q14" s="86"/>
      <x:c r="R14" s="86"/>
      <x:c r="S14" s="86"/>
      <x:c r="T14" s="86"/>
      <x:c r="U14" s="86"/>
    </x:row>
    <x:row r="15">
      <x:c r="A15" s="40" t="n">
        <x:v>10</x:v>
      </x:c>
      <x:c r="B15" s="64" t="str">
        <x:v>5.º Madrid</x:v>
      </x:c>
      <x:c r="C15" s="64" t="str">
        <x:v>DESCANSA</x:v>
      </x:c>
      <x:c r="D15" s="64" t="str">
        <x:v>6–7 mar 2027</x:v>
      </x:c>
      <x:c r="E15" s="64" t="str">
        <x:v>—</x:v>
      </x:c>
      <x:c r="F15" s="64" t="str"/>
      <x:c r="G15" s="64" t="str"/>
      <x:c r="H15" s="64" t="str"/>
      <x:c r="I15" s="64" t="str"/>
      <x:c r="J15" s="41" t="str">
        <x:f>IF(C15="DESCANSA","Descanso",IF(AND(ISNUMBER(H15),ISNUMBER(I15)),"Jugado","Pendiente"))</x:f>
        <x:v>Descanso</x:v>
      </x:c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</x:row>
    <x:row r="16">
      <x:c r="A16" s="40" t="n">
        <x:v>10</x:v>
      </x:c>
      <x:c r="B16" s="64" t="str">
        <x:v>7.º Guadalajara</x:v>
      </x:c>
      <x:c r="C16" s="64" t="str">
        <x:v>6.º Guadalajara</x:v>
      </x:c>
      <x:c r="D16" s="64" t="str">
        <x:v>6–7 mar 2027</x:v>
      </x:c>
      <x:c r="E16" s="64" t="str">
        <x:v>—</x:v>
      </x:c>
      <x:c r="F16" s="64" t="str"/>
      <x:c r="G16" s="64" t="str"/>
      <x:c r="H16" s="64" t="str"/>
      <x:c r="I16" s="64" t="str"/>
      <x:c r="J16" s="41" t="str">
        <x:f>IF(C16="DESCANSA","Descanso",IF(AND(ISNUMBER(H16),ISNUMBER(I16)),"Jugado","Pendiente"))</x:f>
        <x:v>Pendiente</x:v>
      </x:c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</x:row>
    <x:row r="17">
      <x:c r="A17" s="40" t="n">
        <x:v>11</x:v>
      </x:c>
      <x:c r="B17" s="64" t="str">
        <x:v>6.º Madrid</x:v>
      </x:c>
      <x:c r="C17" s="64" t="str">
        <x:v>5.º Guadalajara</x:v>
      </x:c>
      <x:c r="D17" s="64" t="str">
        <x:v>13–14 mar 2027</x:v>
      </x:c>
      <x:c r="E17" s="64" t="str">
        <x:v>20–21 mar 2027</x:v>
      </x:c>
      <x:c r="F17" s="64" t="str"/>
      <x:c r="G17" s="64" t="str"/>
      <x:c r="H17" s="64" t="str"/>
      <x:c r="I17" s="64" t="str"/>
      <x:c r="J17" s="41" t="str">
        <x:f>IF(C17="DESCANSA","Descanso",IF(AND(ISNUMBER(H17),ISNUMBER(I17)),"Jugado","Pendiente"))</x:f>
        <x:v>Pendiente</x:v>
      </x:c>
    </x:row>
    <x:row r="18">
      <x:c r="A18" s="40" t="n">
        <x:v>11</x:v>
      </x:c>
      <x:c r="B18" s="64" t="str">
        <x:v>7.º Madrid</x:v>
      </x:c>
      <x:c r="C18" s="64" t="str">
        <x:v>5.º Madrid</x:v>
      </x:c>
      <x:c r="D18" s="64" t="str">
        <x:v>13–14 mar 2027</x:v>
      </x:c>
      <x:c r="E18" s="64" t="str">
        <x:v>20–21 mar 2027</x:v>
      </x:c>
      <x:c r="F18" s="64" t="str"/>
      <x:c r="G18" s="64" t="str"/>
      <x:c r="H18" s="64" t="str"/>
      <x:c r="I18" s="64" t="str"/>
      <x:c r="J18" s="41" t="str">
        <x:f>IF(C18="DESCANSA","Descanso",IF(AND(ISNUMBER(H18),ISNUMBER(I18)),"Jugado","Pendiente"))</x:f>
        <x:v>Pendiente</x:v>
      </x:c>
    </x:row>
    <x:row r="19">
      <x:c r="A19" s="40" t="n">
        <x:v>11</x:v>
      </x:c>
      <x:c r="B19" s="64" t="str">
        <x:v>7.º Guadalajara</x:v>
      </x:c>
      <x:c r="C19" s="64" t="str">
        <x:v>Otro 4.º</x:v>
      </x:c>
      <x:c r="D19" s="64" t="str">
        <x:v>13–14 mar 2027</x:v>
      </x:c>
      <x:c r="E19" s="64" t="str">
        <x:v>20–21 mar 2027</x:v>
      </x:c>
      <x:c r="F19" s="64" t="str"/>
      <x:c r="G19" s="64" t="str"/>
      <x:c r="H19" s="64" t="str"/>
      <x:c r="I19" s="64" t="str"/>
      <x:c r="J19" s="41" t="str">
        <x:f>IF(C19="DESCANSA","Descanso",IF(AND(ISNUMBER(H19),ISNUMBER(I19)),"Jugado","Pendiente"))</x:f>
        <x:v>Pendiente</x:v>
      </x:c>
    </x:row>
    <x:row r="20">
      <x:c r="A20" s="40" t="n">
        <x:v>11</x:v>
      </x:c>
      <x:c r="B20" s="64" t="str">
        <x:v>6.º Guadalajara</x:v>
      </x:c>
      <x:c r="C20" s="64" t="str">
        <x:v>DESCANSA</x:v>
      </x:c>
      <x:c r="D20" s="64" t="str">
        <x:v>13–14 mar 2027</x:v>
      </x:c>
      <x:c r="E20" s="64" t="str">
        <x:v>20–21 mar 2027</x:v>
      </x:c>
      <x:c r="F20" s="64" t="str"/>
      <x:c r="G20" s="64" t="str"/>
      <x:c r="H20" s="64" t="str"/>
      <x:c r="I20" s="64" t="str"/>
      <x:c r="J20" s="41" t="str">
        <x:f>IF(C20="DESCANSA","Descanso",IF(AND(ISNUMBER(H20),ISNUMBER(I20)),"Jugado","Pendiente"))</x:f>
        <x:v>Descanso</x:v>
      </x:c>
    </x:row>
    <x:row r="21">
      <x:c r="A21" s="40" t="n">
        <x:v>12</x:v>
      </x:c>
      <x:c r="B21" s="64" t="str">
        <x:v>5.º Guadalajara</x:v>
      </x:c>
      <x:c r="C21" s="64" t="str">
        <x:v>5.º Madrid</x:v>
      </x:c>
      <x:c r="D21" s="64" t="str">
        <x:v>3–4 abr 2027</x:v>
      </x:c>
      <x:c r="E21" s="64" t="str">
        <x:v>10–11 abr 2027</x:v>
      </x:c>
      <x:c r="F21" s="64" t="str"/>
      <x:c r="G21" s="64" t="str"/>
      <x:c r="H21" s="64" t="str"/>
      <x:c r="I21" s="64" t="str"/>
      <x:c r="J21" s="41" t="str">
        <x:f>IF(C21="DESCANSA","Descanso",IF(AND(ISNUMBER(H21),ISNUMBER(I21)),"Jugado","Pendiente"))</x:f>
        <x:v>Pendiente</x:v>
      </x:c>
    </x:row>
    <x:row r="22">
      <x:c r="A22" s="40" t="n">
        <x:v>12</x:v>
      </x:c>
      <x:c r="B22" s="64" t="str">
        <x:v>7.º Guadalajara</x:v>
      </x:c>
      <x:c r="C22" s="64" t="str">
        <x:v>6.º Madrid</x:v>
      </x:c>
      <x:c r="D22" s="64" t="str">
        <x:v>3–4 abr 2027</x:v>
      </x:c>
      <x:c r="E22" s="64" t="str">
        <x:v>10–11 abr 2027</x:v>
      </x:c>
      <x:c r="F22" s="64" t="str"/>
      <x:c r="G22" s="64" t="str"/>
      <x:c r="H22" s="64" t="str"/>
      <x:c r="I22" s="64" t="str"/>
      <x:c r="J22" s="41" t="str">
        <x:f>IF(C22="DESCANSA","Descanso",IF(AND(ISNUMBER(H22),ISNUMBER(I22)),"Jugado","Pendiente"))</x:f>
        <x:v>Pendiente</x:v>
      </x:c>
    </x:row>
    <x:row r="23">
      <x:c r="A23" s="40" t="n">
        <x:v>12</x:v>
      </x:c>
      <x:c r="B23" s="64" t="str">
        <x:v>7.º Madrid</x:v>
      </x:c>
      <x:c r="C23" s="64" t="str">
        <x:v>6.º Guadalajara</x:v>
      </x:c>
      <x:c r="D23" s="64" t="str">
        <x:v>3–4 abr 2027</x:v>
      </x:c>
      <x:c r="E23" s="64" t="str">
        <x:v>10–11 abr 2027</x:v>
      </x:c>
      <x:c r="F23" s="64" t="str"/>
      <x:c r="G23" s="64" t="str"/>
      <x:c r="H23" s="64" t="str"/>
      <x:c r="I23" s="64" t="str"/>
      <x:c r="J23" s="41" t="str">
        <x:f>IF(C23="DESCANSA","Descanso",IF(AND(ISNUMBER(H23),ISNUMBER(I23)),"Jugado","Pendiente"))</x:f>
        <x:v>Pendiente</x:v>
      </x:c>
    </x:row>
    <x:row r="24">
      <x:c r="A24" s="40" t="n">
        <x:v>12</x:v>
      </x:c>
      <x:c r="B24" s="64" t="str">
        <x:v>Otro 4.º</x:v>
      </x:c>
      <x:c r="C24" s="64" t="str">
        <x:v>DESCANSA</x:v>
      </x:c>
      <x:c r="D24" s="64" t="str">
        <x:v>3–4 abr 2027</x:v>
      </x:c>
      <x:c r="E24" s="64" t="str">
        <x:v>10–11 abr 2027</x:v>
      </x:c>
      <x:c r="F24" s="64" t="str"/>
      <x:c r="G24" s="64" t="str"/>
      <x:c r="H24" s="64" t="str"/>
      <x:c r="I24" s="64" t="str"/>
      <x:c r="J24" s="41" t="str">
        <x:f>IF(C24="DESCANSA","Descanso",IF(AND(ISNUMBER(H24),ISNUMBER(I24)),"Jugado","Pendiente"))</x:f>
        <x:v>Descanso</x:v>
      </x:c>
    </x:row>
    <x:row r="25">
      <x:c r="A25" s="40" t="n">
        <x:v>13</x:v>
      </x:c>
      <x:c r="B25" s="64" t="str">
        <x:v>7.º Guadalajara</x:v>
      </x:c>
      <x:c r="C25" s="64" t="str">
        <x:v>5.º Guadalajara</x:v>
      </x:c>
      <x:c r="D25" s="64" t="str">
        <x:v>17–18 abr 2027</x:v>
      </x:c>
      <x:c r="E25" s="64" t="str">
        <x:v>24–25 abr 2027</x:v>
      </x:c>
      <x:c r="F25" s="64" t="str"/>
      <x:c r="G25" s="64" t="str"/>
      <x:c r="H25" s="64" t="str"/>
      <x:c r="I25" s="64" t="str"/>
      <x:c r="J25" s="41" t="str">
        <x:f>IF(C25="DESCANSA","Descanso",IF(AND(ISNUMBER(H25),ISNUMBER(I25)),"Jugado","Pendiente"))</x:f>
        <x:v>Pendiente</x:v>
      </x:c>
    </x:row>
    <x:row r="26">
      <x:c r="A26" s="40" t="n">
        <x:v>13</x:v>
      </x:c>
      <x:c r="B26" s="64" t="str">
        <x:v>5.º Madrid</x:v>
      </x:c>
      <x:c r="C26" s="64" t="str">
        <x:v>6.º Guadalajara</x:v>
      </x:c>
      <x:c r="D26" s="64" t="str">
        <x:v>17–18 abr 2027</x:v>
      </x:c>
      <x:c r="E26" s="64" t="str">
        <x:v>24–25 abr 2027</x:v>
      </x:c>
      <x:c r="F26" s="64" t="str"/>
      <x:c r="G26" s="64" t="str"/>
      <x:c r="H26" s="64" t="str"/>
      <x:c r="I26" s="64" t="str"/>
      <x:c r="J26" s="41" t="str">
        <x:f>IF(C26="DESCANSA","Descanso",IF(AND(ISNUMBER(H26),ISNUMBER(I26)),"Jugado","Pendiente"))</x:f>
        <x:v>Pendiente</x:v>
      </x:c>
    </x:row>
    <x:row r="27">
      <x:c r="A27" s="40" t="n">
        <x:v>13</x:v>
      </x:c>
      <x:c r="B27" s="64" t="str">
        <x:v>6.º Madrid</x:v>
      </x:c>
      <x:c r="C27" s="64" t="str">
        <x:v>DESCANSA</x:v>
      </x:c>
      <x:c r="D27" s="64" t="str">
        <x:v>17–18 abr 2027</x:v>
      </x:c>
      <x:c r="E27" s="64" t="str">
        <x:v>24–25 abr 2027</x:v>
      </x:c>
      <x:c r="F27" s="64" t="str"/>
      <x:c r="G27" s="64" t="str"/>
      <x:c r="H27" s="64" t="str"/>
      <x:c r="I27" s="64" t="str"/>
      <x:c r="J27" s="41" t="str">
        <x:f>IF(C27="DESCANSA","Descanso",IF(AND(ISNUMBER(H27),ISNUMBER(I27)),"Jugado","Pendiente"))</x:f>
        <x:v>Descanso</x:v>
      </x:c>
    </x:row>
    <x:row r="28">
      <x:c r="A28" s="40" t="n">
        <x:v>13</x:v>
      </x:c>
      <x:c r="B28" s="64" t="str">
        <x:v>7.º Madrid</x:v>
      </x:c>
      <x:c r="C28" s="64" t="str">
        <x:v>Otro 4.º</x:v>
      </x:c>
      <x:c r="D28" s="64" t="str">
        <x:v>17–18 abr 2027</x:v>
      </x:c>
      <x:c r="E28" s="64" t="str">
        <x:v>24–25 abr 2027</x:v>
      </x:c>
      <x:c r="F28" s="64" t="str"/>
      <x:c r="G28" s="64" t="str"/>
      <x:c r="H28" s="64" t="str"/>
      <x:c r="I28" s="64" t="str"/>
      <x:c r="J28" s="41" t="str">
        <x:f>IF(C28="DESCANSA","Descanso",IF(AND(ISNUMBER(H28),ISNUMBER(I28)),"Jugado","Pendiente"))</x:f>
        <x:v>Pendiente</x:v>
      </x:c>
    </x:row>
    <x:row r="29">
      <x:c r="A29" s="40" t="n">
        <x:v>14</x:v>
      </x:c>
      <x:c r="B29" s="64" t="str">
        <x:v>5.º Guadalajara</x:v>
      </x:c>
      <x:c r="C29" s="64" t="str">
        <x:v>6.º Guadalajara</x:v>
      </x:c>
      <x:c r="D29" s="64" t="str">
        <x:v>8–9 may 2027</x:v>
      </x:c>
      <x:c r="E29" s="64" t="str">
        <x:v>15–16 may 2027</x:v>
      </x:c>
      <x:c r="F29" s="64" t="str"/>
      <x:c r="G29" s="64" t="str"/>
      <x:c r="H29" s="64" t="str"/>
      <x:c r="I29" s="64" t="str"/>
      <x:c r="J29" s="41" t="str">
        <x:f>IF(C29="DESCANSA","Descanso",IF(AND(ISNUMBER(H29),ISNUMBER(I29)),"Jugado","Pendiente"))</x:f>
        <x:v>Pendiente</x:v>
      </x:c>
    </x:row>
    <x:row r="30">
      <x:c r="A30" s="40" t="n">
        <x:v>14</x:v>
      </x:c>
      <x:c r="B30" s="64" t="str">
        <x:v>7.º Guadalajara</x:v>
      </x:c>
      <x:c r="C30" s="64" t="str">
        <x:v>DESCANSA</x:v>
      </x:c>
      <x:c r="D30" s="64" t="str">
        <x:v>8–9 may 2027</x:v>
      </x:c>
      <x:c r="E30" s="64" t="str">
        <x:v>15–16 may 2027</x:v>
      </x:c>
      <x:c r="F30" s="64" t="str"/>
      <x:c r="G30" s="64" t="str"/>
      <x:c r="H30" s="64" t="str"/>
      <x:c r="I30" s="64" t="str"/>
      <x:c r="J30" s="41" t="str">
        <x:f>IF(C30="DESCANSA","Descanso",IF(AND(ISNUMBER(H30),ISNUMBER(I30)),"Jugado","Pendiente"))</x:f>
        <x:v>Descanso</x:v>
      </x:c>
    </x:row>
    <x:row r="31">
      <x:c r="A31" s="40" t="n">
        <x:v>14</x:v>
      </x:c>
      <x:c r="B31" s="64" t="str">
        <x:v>5.º Madrid</x:v>
      </x:c>
      <x:c r="C31" s="64" t="str">
        <x:v>Otro 4.º</x:v>
      </x:c>
      <x:c r="D31" s="64" t="str">
        <x:v>8–9 may 2027</x:v>
      </x:c>
      <x:c r="E31" s="64" t="str">
        <x:v>15–16 may 2027</x:v>
      </x:c>
      <x:c r="F31" s="64" t="str"/>
      <x:c r="G31" s="64" t="str"/>
      <x:c r="H31" s="64" t="str"/>
      <x:c r="I31" s="64" t="str"/>
      <x:c r="J31" s="41" t="str">
        <x:f>IF(C31="DESCANSA","Descanso",IF(AND(ISNUMBER(H31),ISNUMBER(I31)),"Jugado","Pendiente"))</x:f>
        <x:v>Pendiente</x:v>
      </x:c>
    </x:row>
    <x:row r="32">
      <x:c r="A32" s="42" t="n">
        <x:v>14</x:v>
      </x:c>
      <x:c r="B32" s="75" t="str">
        <x:v>7.º Madrid</x:v>
      </x:c>
      <x:c r="C32" s="75" t="str">
        <x:v>6.º Madrid</x:v>
      </x:c>
      <x:c r="D32" s="75" t="str">
        <x:v>8–9 may 2027</x:v>
      </x:c>
      <x:c r="E32" s="75" t="str">
        <x:v>15–16 may 2027</x:v>
      </x:c>
      <x:c r="F32" s="75" t="str"/>
      <x:c r="G32" s="75" t="str"/>
      <x:c r="H32" s="75" t="str"/>
      <x:c r="I32" s="75" t="str"/>
      <x:c r="J32" s="43" t="str">
        <x:f>IF(C32="DESCANSA","Descanso",IF(AND(ISNUMBER(H32),ISNUMBER(I32)),"Jugado","Pendiente"))</x:f>
        <x:v>Pendiente</x:v>
      </x:c>
    </x:row>
  </x:sheetData>
  <x:mergeCells>
    <x:mergeCell ref="A1:J2"/>
    <x:mergeCell ref="L1:U2"/>
    <x:mergeCell ref="L14:U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5" t="str">
        <x:v>FORMATO DE COMPETICIÓN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4" t="str">
        <x:v>Concepto</x:v>
      </x:c>
      <x:c r="B4" s="25" t="str">
        <x:v>Criterio</x:v>
      </x:c>
    </x:row>
    <x:row r="5">
      <x:c r="A5" s="189" t="str">
        <x:v>1.ª fase</x:v>
      </x:c>
      <x:c r="B5" s="41" t="str">
        <x:v>Dos grupos de 7 equipos. Una vuelta: 6 partidos + 1 descanso por equipo.</x:v>
      </x:c>
    </x:row>
    <x:row r="6">
      <x:c r="A6" s="189" t="str">
        <x:v>Clasificación Oro</x:v>
      </x:c>
      <x:c r="B6" s="41" t="str">
        <x:v>1.º, 2.º y 3.º de cada grupo + el mejor de los dos 4.º.</x:v>
      </x:c>
    </x:row>
    <x:row r="7">
      <x:c r="A7" s="189" t="str">
        <x:v>Clasificación Plata</x:v>
      </x:c>
      <x:c r="B7" s="41" t="str">
        <x:v>5.º, 6.º y 7.º de cada grupo + el otro 4.º.</x:v>
      </x:c>
    </x:row>
    <x:row r="8">
      <x:c r="A8" s="189" t="str">
        <x:v>Mejor 4.º</x:v>
      </x:c>
      <x:c r="B8" s="41" t="str">
        <x:v>Puntos; diferencia de goles; goles a favor; fair play; sorteo.</x:v>
      </x:c>
    </x:row>
    <x:row r="9">
      <x:c r="A9" s="189" t="str">
        <x:v>2.ª fase</x:v>
      </x:c>
      <x:c r="B9" s="41" t="str">
        <x:v>Liga Oro y Liga Plata, ambas de 7 equipos. Una vuelta: 6 partidos + 1 descanso.</x:v>
      </x:c>
    </x:row>
    <x:row r="10">
      <x:c r="A10" s="190" t="str">
        <x:v>Copa</x:v>
      </x:c>
      <x:c r="B10" s="43" t="str">
        <x:v>22–23 y 29–30 de mayo reservados para una Copa todavía por definir.</x:v>
      </x:c>
    </x:row>
    <x:row r="12">
      <x:c r="A12" s="86" t="str">
        <x:v>JORNADAS ÚNICAS: se programan J3 (14–15 noviembre) y J10 (6–7 marzo). Son necesarias porque, descontando los principales fines de semana bloqueados por festivos y Semana Santa, solo existen 26 fines de semana útiles hasta el 15–16 de mayo y harían falta 28 para que las 14 jornadas fueran de doble ventana.</x:v>
      </x:c>
      <x:c r="B12" s="86"/>
      <x:c r="C12" s="86"/>
      <x:c r="D12" s="86"/>
      <x:c r="E12" s="86"/>
      <x:c r="F12" s="86"/>
    </x:row>
    <x:row r="13">
      <x:c r="A13" s="86"/>
      <x:c r="B13" s="86"/>
      <x:c r="C13" s="86"/>
      <x:c r="D13" s="86"/>
      <x:c r="E13" s="86"/>
      <x:c r="F13" s="86"/>
    </x:row>
    <x:row r="14">
      <x:c r="A14" s="86"/>
      <x:c r="B14" s="86"/>
      <x:c r="C14" s="86"/>
      <x:c r="D14" s="86"/>
      <x:c r="E14" s="86"/>
      <x:c r="F14" s="86"/>
    </x:row>
    <x:row r="15">
      <x:c r="A15" s="86"/>
      <x:c r="B15" s="86"/>
      <x:c r="C15" s="86"/>
      <x:c r="D15" s="86"/>
      <x:c r="E15" s="86"/>
      <x:c r="F15" s="86"/>
    </x:row>
  </x:sheetData>
  <x:mergeCells>
    <x:mergeCell ref="A1:F2"/>
    <x:mergeCell ref="A12:F15"/>
  </x:mergeCells>
  <x:pageMargins left="0.7" right="0.7" top="0.75" bottom="0.75" header="0.3" footer="0.3"/>
</x:worksheet>
</file>